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odri\Downloads\Santander Open Academy\Excel com IA e Claude\03 - Criando Dashboards com Excel\06 - Criando um DashBoard de Vendas do Xbox com Excel\"/>
    </mc:Choice>
  </mc:AlternateContent>
  <xr:revisionPtr revIDLastSave="0" documentId="13_ncr:1_{3741AFAE-27F7-47D0-9AD8-A410A08B51E0}" xr6:coauthVersionLast="47" xr6:coauthVersionMax="47" xr10:uidLastSave="{00000000-0000-0000-0000-000000000000}"/>
  <bookViews>
    <workbookView xWindow="-120" yWindow="-120" windowWidth="38640" windowHeight="21120" tabRatio="0" firstSheet="3" activeTab="3" xr2:uid="{28DD5B76-0634-4F87-BE60-8BFA7EF2E23B}"/>
  </bookViews>
  <sheets>
    <sheet name="A̳ssets" sheetId="1" r:id="rId1"/>
    <sheet name="B̳ases" sheetId="2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3" l="1"/>
  <c r="D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<sst xmlns="http://schemas.openxmlformats.org/spreadsheetml/2006/main" count="2022" uniqueCount="324">
  <si>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</si>
  <si>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</si>
  <si>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</si>
  <si>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</si>
  <si>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</si>
  <si>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</si>
  <si>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</si>
  <si>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</si>
  <si>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</si>
  <si>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</si>
  <si>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</si>
  <si>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</si>
  <si>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</si>
  <si>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</si>
  <si>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</si>
  <si>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</si>
  <si>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</si>
  <si>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</si>
  <si>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</si>
  <si>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</si>
  <si>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</si>
  <si>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</si>
  <si>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</si>
  <si>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</si>
  <si>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</si>
  <si>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</si>
  <si>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</si>
  <si>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</si>
  <si>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</si>
  <si>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</si>
  <si>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</si>
  <si>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</si>
  <si>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</si>
  <si>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</si>
  <si>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</si>
  <si>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</si>
  <si>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</si>
  <si>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</si>
  <si>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</si>
  <si>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</si>
  <si>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</si>
  <si>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</si>
  <si>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</si>
  <si>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</si>
  <si>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</si>
  <si>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</si>
  <si>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</si>
  <si>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</si>
  <si>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</si>
  <si>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</si>
  <si>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</si>
  <si>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</si>
  <si>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</si>
  <si>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</si>
  <si>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</si>
  <si>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</si>
  <si>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</si>
  <si>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</si>
  <si>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</si>
  <si>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</si>
  <si>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</si>
  <si>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</si>
  <si>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</si>
  <si>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</si>
  <si>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</si>
  <si>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</si>
  <si>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</si>
  <si>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</si>
  <si>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</si>
  <si>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</si>
  <si>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</si>
  <si>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</si>
  <si>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</si>
  <si>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</si>
  <si>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</si>
  <si>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</si>
  <si>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</si>
  <si>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</si>
  <si>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</si>
  <si>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</si>
  <si>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</si>
  <si>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</si>
  <si>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</si>
  <si>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</si>
  <si>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</si>
  <si>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</si>
  <si>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</si>
  <si>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</si>
  <si>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</si>
  <si>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</si>
  <si>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</si>
  <si>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</si>
  <si>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</si>
  <si>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</si>
  <si>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</si>
  <si>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</si>
  <si>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</si>
  <si>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</si>
  <si>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</si>
  <si>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</si>
  <si>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</si>
  <si>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</si>
  <si>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</si>
  <si>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</si>
  <si>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</si>
  <si>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</si>
  <si>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</si>
  <si>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</si>
  <si>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</si>
  <si>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</si>
  <si>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</si>
  <si>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</si>
  <si>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</si>
  <si>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</si>
  <si>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</si>
  <si>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</si>
  <si>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</si>
  <si>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</si>
  <si>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</si>
  <si>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</si>
  <si>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</si>
  <si>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</si>
  <si>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</si>
  <si>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</si>
  <si>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</si>
  <si>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</si>
  <si>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</si>
  <si>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</si>
  <si>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</si>
  <si>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</si>
  <si>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</si>
  <si>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</si>
  <si>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</si>
  <si>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</si>
  <si>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</si>
  <si>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</si>
  <si>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</si>
  <si>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</si>
  <si>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</si>
  <si>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</si>
  <si>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</si>
  <si>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</si>
  <si>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</si>
  <si>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</si>
  <si>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</si>
  <si>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</si>
  <si>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</si>
  <si>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</si>
  <si>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</si>
  <si>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</si>
  <si>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</si>
  <si>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</si>
  <si>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</si>
  <si>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</si>
  <si>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</si>
  <si>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</si>
  <si>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</si>
  <si>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</si>
  <si>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</si>
  <si>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</si>
  <si>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</si>
  <si>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</si>
  <si>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</si>
  <si>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</si>
  <si>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</si>
  <si>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</si>
  <si>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</si>
  <si>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</si>
  <si>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</si>
  <si>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</si>
  <si>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</si>
  <si>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</si>
  <si>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</si>
  <si>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</si>
  <si>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</si>
  <si>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</si>
  <si>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</si>
  <si>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</si>
  <si>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</si>
  <si>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</si>
  <si>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</si>
  <si>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</si>
  <si>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</si>
  <si>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</si>
  <si>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</si>
  <si>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</si>
  <si>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</si>
  <si>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</si>
  <si>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</si>
  <si>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</si>
  <si>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</si>
  <si>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</si>
  <si>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</si>
  <si>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</si>
  <si>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</si>
  <si>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</si>
  <si>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</si>
  <si>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</si>
  <si>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</si>
  <si>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</si>
  <si>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</si>
  <si>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</si>
  <si>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</si>
  <si>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</si>
  <si>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</si>
  <si>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</si>
  <si>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</si>
  <si>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</si>
  <si>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</si>
  <si>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</si>
  <si>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</si>
  <si>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</si>
  <si>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</si>
  <si>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</si>
  <si>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</si>
  <si>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</si>
  <si>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</si>
  <si>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</si>
  <si>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</si>
  <si>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</si>
  <si>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</si>
  <si>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</si>
  <si>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</si>
  <si>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</si>
  <si>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</si>
  <si>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</si>
  <si>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</si>
  <si>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</si>
  <si>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</si>
  <si>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</si>
  <si>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</si>
  <si>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</si>
  <si>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</si>
  <si>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</si>
  <si>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</si>
  <si>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</si>
  <si>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</si>
  <si>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</si>
  <si>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</si>
  <si>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</si>
  <si>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</si>
  <si>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</si>
  <si>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</si>
  <si>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</si>
  <si>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</si>
  <si>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</si>
  <si>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</si>
  <si>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</si>
  <si>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</si>
  <si>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</si>
  <si>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</si>
  <si>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</si>
  <si>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</si>
  <si>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</si>
  <si>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</si>
  <si>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</si>
  <si>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</si>
  <si>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</si>
  <si>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</si>
  <si>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</si>
  <si>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</si>
  <si>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</si>
  <si>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</si>
  <si>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</si>
  <si>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</si>
  <si>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</si>
  <si>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</si>
  <si>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</si>
  <si>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</si>
  <si>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</si>
  <si>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</si>
  <si>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</si>
  <si>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</si>
  <si>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</si>
  <si>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</si>
  <si>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</si>
  <si>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</si>
  <si>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</si>
  <si>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</si>
  <si>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</si>
  <si>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</si>
  <si>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</si>
  <si>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</si>
  <si>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</si>
  <si>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</si>
  <si>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</si>
  <si>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</si>
  <si>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</si>
  <si>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</si>
  <si>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</si>
  <si>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</si>
  <si>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</si>
  <si>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</si>
  <si>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</si>
  <si>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</si>
  <si>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</si>
  <si>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</si>
  <si>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</si>
  <si>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</si>
  <si>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</si>
  <si>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</si>
  <si>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</si>
  <si>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</si>
  <si>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</si>
  <si>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</si>
  <si>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</si>
  <si>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</si>
  <si>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</si>
  <si>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</si>
  <si>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</si>
  <si>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</si>
  <si>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</si>
  <si>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</si>
  <si>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</si>
  <si>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</si>
  <si>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</si>
  <si>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o faturamento total de venda de planos anuais (contendo todas as assinaturas agregadas)? Palavras-chaves: total de vendas, plano anual.</t>
  </si>
  <si>
    <t>Pergunta de Negócio 2 - Qual faturamento total de vendas de planos anuais, separado por auto renovação e não auto renovação? Palavra-chaves: total de vendas de planos anuais, auto renovação e não auto renovação.</t>
  </si>
  <si>
    <t>XBOX GAME PASS SUBSCRIPTION SALES</t>
  </si>
  <si>
    <t>Pergunta de Negócio 3 - Total de Vendas de Assinaturas do EA Play? Palavras-chaves: total de vendas e assinatura do EA Play.</t>
  </si>
  <si>
    <t>Soma de EA Play Season Pass</t>
  </si>
  <si>
    <t>Informação é uma pergunta de negócio respondida através de alguma análise de dado específica.</t>
  </si>
  <si>
    <t>Pergunta de Negócio 4 - Total de Vendas de Assinaturas do Minecraft Season Pass? Palavras-chaves: total de vendas, assinatura Minecraft.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</si>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</sst>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22C55E"/>
      <name val="Arial"/>
      <family val="2"/>
      <scheme val="minor"/>
    </font>
    <font>
      <sz val="11"/>
      <color rgb="FF22C55E"/>
      <name val="Arial Black"/>
      <family val="2"/>
    </font>
    <font>
      <sz val="11"/>
      <color theme="1"/>
      <name val="Arial Black"/>
      <family val="2"/>
    </font>
    <font>
      <b/>
      <sz val="15"/>
      <color rgb="FF22C55E"/>
      <name val="Arial Black"/>
      <family val="2"/>
    </font>
    <font>
      <b/>
      <sz val="15"/>
      <color rgb="FF2AE6B1"/>
      <name val="Arial Black"/>
      <family val="2"/>
    </font>
    <font>
      <u/>
      <sz val="11"/>
      <color theme="1"/>
      <name val="Arial Black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2C55E"/>
      </bottom>
      <diagonal/>
    </border>
    <border>
      <left/>
      <right/>
      <top style="thin">
        <color rgb="FF22C55E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4" borderId="0" xfId="0" applyFont="1" applyFill="1"/>
    <xf numFmtId="164" fontId="0" fillId="0" borderId="0" xfId="0" applyNumberFormat="1"/>
    <xf numFmtId="164" fontId="0" fillId="0" borderId="0" xfId="2" applyNumberFormat="1" applyFont="1"/>
    <xf numFmtId="0" fontId="5" fillId="4" borderId="0" xfId="0" applyFont="1" applyFill="1"/>
    <xf numFmtId="0" fontId="6" fillId="0" borderId="0" xfId="0" applyFont="1"/>
    <xf numFmtId="0" fontId="7" fillId="8" borderId="2" xfId="1" applyFont="1" applyFill="1" applyBorder="1"/>
    <xf numFmtId="0" fontId="8" fillId="8" borderId="2" xfId="1" applyFont="1" applyFill="1" applyBorder="1"/>
    <xf numFmtId="0" fontId="6" fillId="0" borderId="2" xfId="0" applyFont="1" applyBorder="1"/>
    <xf numFmtId="0" fontId="6" fillId="7" borderId="0" xfId="0" applyFont="1" applyFill="1"/>
    <xf numFmtId="0" fontId="6" fillId="0" borderId="3" xfId="0" applyFont="1" applyBorder="1"/>
    <xf numFmtId="0" fontId="9" fillId="7" borderId="0" xfId="0" applyFont="1" applyFill="1"/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A3E82A3C-6496-468F-B29A-7544A39071D3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[base_concluída .xlsx]C̳álculos!tbl_anual_total</c:name>
    <c:fmtId val="6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2">
                      <a:lumMod val="50000"/>
                    </a:schemeClr>
                  </a:solidFill>
                  <a:latin typeface="Arial Black" panose="020B0A040201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</c:pivotFmt>
      <c:pivotFmt>
        <c:idx val="5"/>
        <c:spPr>
          <a:solidFill>
            <a:srgbClr val="22C55E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Arial Black" panose="020B0A040201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E-416E-8C0C-59C2EB532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9015696"/>
        <c:axId val="783466096"/>
      </c:barChart>
      <c:catAx>
        <c:axId val="779015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3466096"/>
        <c:crosses val="autoZero"/>
        <c:auto val="1"/>
        <c:lblAlgn val="ctr"/>
        <c:lblOffset val="100"/>
        <c:noMultiLvlLbl val="0"/>
      </c:catAx>
      <c:valAx>
        <c:axId val="7834660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77901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123825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123825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348071</xdr:colOff>
      <xdr:row>15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19050</xdr:colOff>
      <xdr:row>20</xdr:row>
      <xdr:rowOff>164973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133350</xdr:colOff>
      <xdr:row>14</xdr:row>
      <xdr:rowOff>76200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2</xdr:col>
      <xdr:colOff>590550</xdr:colOff>
      <xdr:row>28</xdr:row>
      <xdr:rowOff>133350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371475</xdr:colOff>
      <xdr:row>28</xdr:row>
      <xdr:rowOff>171449</xdr:rowOff>
    </xdr:from>
    <xdr:to>
      <xdr:col>3</xdr:col>
      <xdr:colOff>549351</xdr:colOff>
      <xdr:row>33</xdr:row>
      <xdr:rowOff>19050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123825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123825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1964533</xdr:colOff>
      <xdr:row>0</xdr:row>
      <xdr:rowOff>0</xdr:rowOff>
    </xdr:from>
    <xdr:to>
      <xdr:col>1</xdr:col>
      <xdr:colOff>392906</xdr:colOff>
      <xdr:row>4</xdr:row>
      <xdr:rowOff>12523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0E4499-0DF9-45A3-9B69-52A9BB0824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38" r="72360"/>
        <a:stretch>
          <a:fillRect/>
        </a:stretch>
      </xdr:blipFill>
      <xdr:spPr>
        <a:xfrm>
          <a:off x="1964533" y="0"/>
          <a:ext cx="785811" cy="1405554"/>
        </a:xfrm>
        <a:prstGeom prst="rect">
          <a:avLst/>
        </a:prstGeom>
      </xdr:spPr>
    </xdr:pic>
    <xdr:clientData/>
  </xdr:twoCellAnchor>
  <xdr:twoCellAnchor editAs="absolute">
    <xdr:from>
      <xdr:col>0</xdr:col>
      <xdr:colOff>104775</xdr:colOff>
      <xdr:row>7</xdr:row>
      <xdr:rowOff>164306</xdr:rowOff>
    </xdr:from>
    <xdr:to>
      <xdr:col>0</xdr:col>
      <xdr:colOff>2176462</xdr:colOff>
      <xdr:row>12</xdr:row>
      <xdr:rowOff>200025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 1">
              <a:extLst>
                <a:ext uri="{FF2B5EF4-FFF2-40B4-BE49-F238E27FC236}">
                  <a16:creationId xmlns:a16="http://schemas.microsoft.com/office/drawing/2014/main" id="{D879F56B-77BE-C988-6B10-4AAD372E6225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911651"/>
              <a:ext cx="2071687" cy="1402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261938</xdr:colOff>
      <xdr:row>7</xdr:row>
      <xdr:rowOff>50602</xdr:rowOff>
    </xdr:from>
    <xdr:to>
      <xdr:col>20</xdr:col>
      <xdr:colOff>71438</xdr:colOff>
      <xdr:row>33</xdr:row>
      <xdr:rowOff>76200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47EDBE93-8C66-8D9C-736B-82BF637D80AF}"/>
            </a:ext>
          </a:extLst>
        </xdr:cNvPr>
        <xdr:cNvGrpSpPr/>
      </xdr:nvGrpSpPr>
      <xdr:grpSpPr>
        <a:xfrm>
          <a:off x="2613628" y="1797947"/>
          <a:ext cx="12014638" cy="6358081"/>
          <a:chOff x="2702719" y="1503165"/>
          <a:chExt cx="12144375" cy="639544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BC23F7B4-E921-5B39-DE4F-AADA7B01097D}"/>
              </a:ext>
            </a:extLst>
          </xdr:cNvPr>
          <xdr:cNvGrpSpPr/>
        </xdr:nvGrpSpPr>
        <xdr:grpSpPr>
          <a:xfrm>
            <a:off x="9378792" y="1503165"/>
            <a:ext cx="5468302" cy="2415923"/>
            <a:chOff x="2559844" y="1416844"/>
            <a:chExt cx="5500688" cy="2750343"/>
          </a:xfrm>
        </xdr:grpSpPr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BD524ECF-3F8E-4D58-B792-093AFD8DEE6A}"/>
                </a:ext>
              </a:extLst>
            </xdr:cNvPr>
            <xdr:cNvSpPr/>
          </xdr:nvSpPr>
          <xdr:spPr>
            <a:xfrm>
              <a:off x="2559845" y="1464468"/>
              <a:ext cx="5500687" cy="2702719"/>
            </a:xfrm>
            <a:prstGeom prst="roundRect">
              <a:avLst>
                <a:gd name="adj" fmla="val 3451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24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2A984402-7713-4254-B710-A3E428035495}"/>
                </a:ext>
              </a:extLst>
            </xdr:cNvPr>
            <xdr:cNvSpPr/>
          </xdr:nvSpPr>
          <xdr:spPr>
            <a:xfrm>
              <a:off x="4405312" y="1904999"/>
              <a:ext cx="3214688" cy="1857376"/>
            </a:xfrm>
            <a:prstGeom prst="roundRect">
              <a:avLst>
                <a:gd name="adj" fmla="val 3451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A74BDB1-93B1-422F-B4B6-74F3BBB339FC}" type="TxLink">
                <a:rPr lang="en-US" sz="4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R$ 600,00</a:t>
              </a:fld>
              <a:endParaRPr lang="pt-BR" sz="4000">
                <a:solidFill>
                  <a:srgbClr val="22C55E"/>
                </a:solidFill>
              </a:endParaRPr>
            </a:p>
          </xdr:txBody>
        </xdr: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5762EC27-3D68-45E7-9AA0-265C8D6F9C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833687" y="1857374"/>
              <a:ext cx="1845470" cy="1845470"/>
            </a:xfrm>
            <a:prstGeom prst="rect">
              <a:avLst/>
            </a:prstGeom>
          </xdr:spPr>
        </xdr:pic>
        <xdr:sp macro="" textlink="">
          <xdr:nvSpPr>
            <xdr:cNvPr id="12" name="Retângulo: Cantos Superiores Arredondados 11">
              <a:extLst>
                <a:ext uri="{FF2B5EF4-FFF2-40B4-BE49-F238E27FC236}">
                  <a16:creationId xmlns:a16="http://schemas.microsoft.com/office/drawing/2014/main" id="{8CAE57B2-81BD-4824-A744-062932429873}"/>
                </a:ext>
              </a:extLst>
            </xdr:cNvPr>
            <xdr:cNvSpPr/>
          </xdr:nvSpPr>
          <xdr:spPr>
            <a:xfrm>
              <a:off x="2559844" y="1416844"/>
              <a:ext cx="5500688" cy="55959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600" b="1" baseline="0">
                  <a:solidFill>
                    <a:schemeClr val="bg1"/>
                  </a:solidFill>
                  <a:latin typeface="+mj-lt"/>
                </a:rPr>
                <a:t>TOTAL SUBSCRIPTION EA PLAY SEASON PASS</a:t>
              </a:r>
              <a:endParaRPr lang="pt-BR" sz="1600" b="1">
                <a:solidFill>
                  <a:schemeClr val="bg1"/>
                </a:solidFill>
                <a:latin typeface="+mj-lt"/>
              </a:endParaRPr>
            </a:p>
          </xdr:txBody>
        </xdr:sp>
      </xdr:grpSp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D37C1227-A86A-EFE0-B715-006EEB0FFADC}"/>
              </a:ext>
            </a:extLst>
          </xdr:cNvPr>
          <xdr:cNvGrpSpPr/>
        </xdr:nvGrpSpPr>
        <xdr:grpSpPr>
          <a:xfrm>
            <a:off x="2715709" y="1512316"/>
            <a:ext cx="6213978" cy="2397620"/>
            <a:chOff x="8489157" y="1398985"/>
            <a:chExt cx="5500688" cy="2357437"/>
          </a:xfrm>
        </xdr:grpSpPr>
        <xdr:grpSp>
          <xdr:nvGrpSpPr>
            <xdr:cNvPr id="15" name="Agrupar 14">
              <a:extLst>
                <a:ext uri="{FF2B5EF4-FFF2-40B4-BE49-F238E27FC236}">
                  <a16:creationId xmlns:a16="http://schemas.microsoft.com/office/drawing/2014/main" id="{F495C883-39AF-4E9C-8FF8-18FB3BC79081}"/>
                </a:ext>
              </a:extLst>
            </xdr:cNvPr>
            <xdr:cNvGrpSpPr/>
          </xdr:nvGrpSpPr>
          <xdr:grpSpPr>
            <a:xfrm>
              <a:off x="8489157" y="1398985"/>
              <a:ext cx="5500688" cy="2357437"/>
              <a:chOff x="2559844" y="1416844"/>
              <a:chExt cx="5500688" cy="2750343"/>
            </a:xfrm>
          </xdr:grpSpPr>
          <xdr:sp macro="" textlink="">
            <xdr:nvSpPr>
              <xdr:cNvPr id="16" name="Retângulo: Cantos Arredondados 15">
                <a:extLst>
                  <a:ext uri="{FF2B5EF4-FFF2-40B4-BE49-F238E27FC236}">
                    <a16:creationId xmlns:a16="http://schemas.microsoft.com/office/drawing/2014/main" id="{F4920EF9-FDAB-1F74-FE33-CAAF739DEEF5}"/>
                  </a:ext>
                </a:extLst>
              </xdr:cNvPr>
              <xdr:cNvSpPr/>
            </xdr:nvSpPr>
            <xdr:spPr>
              <a:xfrm>
                <a:off x="2559845" y="1464468"/>
                <a:ext cx="5500687" cy="2702719"/>
              </a:xfrm>
              <a:prstGeom prst="roundRect">
                <a:avLst>
                  <a:gd name="adj" fmla="val 3451"/>
                </a:avLst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C̳álculos!D38">
            <xdr:nvSpPr>
              <xdr:cNvPr id="17" name="Retângulo: Cantos Arredondados 16">
                <a:extLst>
                  <a:ext uri="{FF2B5EF4-FFF2-40B4-BE49-F238E27FC236}">
                    <a16:creationId xmlns:a16="http://schemas.microsoft.com/office/drawing/2014/main" id="{D9C4B7ED-43EC-9C24-E59F-ABC534B4F39E}"/>
                  </a:ext>
                </a:extLst>
              </xdr:cNvPr>
              <xdr:cNvSpPr/>
            </xdr:nvSpPr>
            <xdr:spPr>
              <a:xfrm>
                <a:off x="4405312" y="1904999"/>
                <a:ext cx="3214688" cy="1857376"/>
              </a:xfrm>
              <a:prstGeom prst="roundRect">
                <a:avLst>
                  <a:gd name="adj" fmla="val 3451"/>
                </a:avLst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fld id="{B0106591-8C07-4D1C-A992-8791CECF08CF}" type="TxLink">
                  <a:rPr lang="en-US" sz="4000" b="0" i="0" u="none" strike="noStrike">
                    <a:solidFill>
                      <a:srgbClr val="22C55E"/>
                    </a:solidFill>
                    <a:latin typeface="Aptos Narrow"/>
                  </a:rPr>
                  <a:pPr algn="ctr"/>
                  <a:t>R$ 940,00</a:t>
                </a:fld>
                <a:endParaRPr lang="pt-BR" sz="4000">
                  <a:solidFill>
                    <a:srgbClr val="22C55E"/>
                  </a:solidFill>
                </a:endParaRPr>
              </a:p>
            </xdr:txBody>
          </xdr:sp>
          <xdr:sp macro="" textlink="">
            <xdr:nvSpPr>
              <xdr:cNvPr id="19" name="Retângulo: Cantos Superiores Arredondados 18">
                <a:extLst>
                  <a:ext uri="{FF2B5EF4-FFF2-40B4-BE49-F238E27FC236}">
                    <a16:creationId xmlns:a16="http://schemas.microsoft.com/office/drawing/2014/main" id="{0182C490-68E2-A0FE-6A81-97CE9D5C05A7}"/>
                  </a:ext>
                </a:extLst>
              </xdr:cNvPr>
              <xdr:cNvSpPr/>
            </xdr:nvSpPr>
            <xdr:spPr>
              <a:xfrm>
                <a:off x="2559844" y="1416844"/>
                <a:ext cx="5500688" cy="559594"/>
              </a:xfrm>
              <a:prstGeom prst="round2Same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1600" b="1" baseline="0">
                    <a:solidFill>
                      <a:schemeClr val="bg1"/>
                    </a:solidFill>
                    <a:latin typeface="Arial Black" panose="020B0A04020102020204" pitchFamily="34" charset="0"/>
                  </a:rPr>
                  <a:t>TOTAL SUBSCRIPTION EA PLAY SEASON PASS</a:t>
                </a:r>
                <a:endParaRPr lang="pt-BR" sz="1600" b="1">
                  <a:solidFill>
                    <a:schemeClr val="bg1"/>
                  </a:solidFill>
                  <a:latin typeface="Arial Black" panose="020B0A04020102020204" pitchFamily="34" charset="0"/>
                </a:endParaRPr>
              </a:p>
            </xdr:txBody>
          </xdr:sp>
        </xdr:grpSp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E2E125D6-CDCC-40E8-9A3B-1BCDDFF9C0D4}"/>
                </a:ext>
              </a:extLst>
            </xdr:cNvPr>
            <xdr:cNvGrpSpPr/>
          </xdr:nvGrpSpPr>
          <xdr:grpSpPr>
            <a:xfrm>
              <a:off x="8941594" y="2226468"/>
              <a:ext cx="1549476" cy="752476"/>
              <a:chOff x="3495675" y="5400674"/>
              <a:chExt cx="1549476" cy="752476"/>
            </a:xfrm>
          </xdr:grpSpPr>
          <xdr:pic>
            <xdr:nvPicPr>
              <xdr:cNvPr id="21" name="Imagem 20">
                <a:extLst>
                  <a:ext uri="{FF2B5EF4-FFF2-40B4-BE49-F238E27FC236}">
                    <a16:creationId xmlns:a16="http://schemas.microsoft.com/office/drawing/2014/main" id="{0FA23389-B991-D646-4042-E06BA159CDFB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3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400674"/>
                <a:ext cx="555497" cy="609599"/>
              </a:xfrm>
              <a:prstGeom prst="rect">
                <a:avLst/>
              </a:prstGeom>
            </xdr:spPr>
          </xdr:pic>
          <xdr:pic>
            <xdr:nvPicPr>
              <xdr:cNvPr id="22" name="Gráfico 21">
                <a:extLst>
                  <a:ext uri="{FF2B5EF4-FFF2-40B4-BE49-F238E27FC236}">
                    <a16:creationId xmlns:a16="http://schemas.microsoft.com/office/drawing/2014/main" id="{D7F30D15-338A-EBDF-4A12-33126FA1B6C5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4">
                <a:extLst>
                  <a:ext uri="{96DAC541-7B7A-43D3-8B79-37D633B846F1}">
                    <asvg:svgBlip xmlns:asvg="http://schemas.microsoft.com/office/drawing/2016/SVG/main" r:embed="rId5"/>
                  </a:ext>
                </a:extLst>
              </a:blip>
              <a:stretch>
                <a:fillRect/>
              </a:stretch>
            </xdr:blipFill>
            <xdr:spPr>
              <a:xfrm>
                <a:off x="3495675" y="5895937"/>
                <a:ext cx="1549476" cy="257213"/>
              </a:xfrm>
              <a:prstGeom prst="rect">
                <a:avLst/>
              </a:prstGeom>
            </xdr:spPr>
          </xdr:pic>
        </xdr:grp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256F72B3-B1DC-76DF-AC73-B4929615F883}"/>
              </a:ext>
            </a:extLst>
          </xdr:cNvPr>
          <xdr:cNvGrpSpPr/>
        </xdr:nvGrpSpPr>
        <xdr:grpSpPr>
          <a:xfrm>
            <a:off x="2702719" y="4310062"/>
            <a:ext cx="12144375" cy="3588544"/>
            <a:chOff x="2524125" y="4702969"/>
            <a:chExt cx="11537156" cy="2874169"/>
          </a:xfrm>
        </xdr:grpSpPr>
        <xdr:grpSp>
          <xdr:nvGrpSpPr>
            <xdr:cNvPr id="8" name="Agrupar 7">
              <a:extLst>
                <a:ext uri="{FF2B5EF4-FFF2-40B4-BE49-F238E27FC236}">
                  <a16:creationId xmlns:a16="http://schemas.microsoft.com/office/drawing/2014/main" id="{82F6A955-8EA8-9336-1443-B5919572E7B8}"/>
                </a:ext>
              </a:extLst>
            </xdr:cNvPr>
            <xdr:cNvGrpSpPr/>
          </xdr:nvGrpSpPr>
          <xdr:grpSpPr>
            <a:xfrm>
              <a:off x="2524125" y="4702969"/>
              <a:ext cx="11537156" cy="2874169"/>
              <a:chOff x="1797844" y="1643062"/>
              <a:chExt cx="5500687" cy="2874169"/>
            </a:xfrm>
          </xdr:grpSpPr>
          <xdr:sp macro="" textlink="">
            <xdr:nvSpPr>
              <xdr:cNvPr id="7" name="Retângulo: Cantos Arredondados 6">
                <a:extLst>
                  <a:ext uri="{FF2B5EF4-FFF2-40B4-BE49-F238E27FC236}">
                    <a16:creationId xmlns:a16="http://schemas.microsoft.com/office/drawing/2014/main" id="{97E4E2FF-C884-889D-E440-DD487DCB69CA}"/>
                  </a:ext>
                </a:extLst>
              </xdr:cNvPr>
              <xdr:cNvSpPr/>
            </xdr:nvSpPr>
            <xdr:spPr>
              <a:xfrm>
                <a:off x="1797844" y="1643062"/>
                <a:ext cx="5500687" cy="2702719"/>
              </a:xfrm>
              <a:prstGeom prst="roundRect">
                <a:avLst>
                  <a:gd name="adj" fmla="val 3451"/>
                </a:avLst>
              </a:prstGeom>
              <a:solidFill>
                <a:sysClr val="window" lastClr="FFFFFF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AED59759-77F6-D5EB-DA69-017919D38BB3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2005012" y="1774031"/>
              <a:ext cx="4572000" cy="2743200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6"/>
              </a:graphicData>
            </a:graphic>
          </xdr:graphicFrame>
        </xdr:grp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7F7D52FB-70DE-4BCA-8D15-80DA7AD3EE22}"/>
                </a:ext>
              </a:extLst>
            </xdr:cNvPr>
            <xdr:cNvSpPr/>
          </xdr:nvSpPr>
          <xdr:spPr>
            <a:xfrm>
              <a:off x="2524125" y="4702969"/>
              <a:ext cx="11537156" cy="479652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3200" b="1" baseline="0">
                  <a:solidFill>
                    <a:schemeClr val="bg1"/>
                  </a:solidFill>
                  <a:latin typeface="Arial Black" panose="020B0A04020102020204" pitchFamily="34" charset="0"/>
                </a:rPr>
                <a:t>TOTAL SUBSCRIPTION XBOX GAME PASS</a:t>
              </a:r>
              <a:endParaRPr lang="pt-BR" sz="32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333376</xdr:colOff>
      <xdr:row>1</xdr:row>
      <xdr:rowOff>11906</xdr:rowOff>
    </xdr:from>
    <xdr:to>
      <xdr:col>0</xdr:col>
      <xdr:colOff>1202532</xdr:colOff>
      <xdr:row>2</xdr:row>
      <xdr:rowOff>369093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F73B56C9-B848-438E-88E3-2A0283AC3E28}"/>
            </a:ext>
          </a:extLst>
        </xdr:cNvPr>
        <xdr:cNvSpPr/>
      </xdr:nvSpPr>
      <xdr:spPr>
        <a:xfrm>
          <a:off x="333376" y="250031"/>
          <a:ext cx="869156" cy="881062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130969</xdr:colOff>
      <xdr:row>4</xdr:row>
      <xdr:rowOff>11905</xdr:rowOff>
    </xdr:from>
    <xdr:to>
      <xdr:col>0</xdr:col>
      <xdr:colOff>1940718</xdr:colOff>
      <xdr:row>6</xdr:row>
      <xdr:rowOff>95249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35665FC3-29BF-C83B-B08D-5BE267A67166}"/>
            </a:ext>
          </a:extLst>
        </xdr:cNvPr>
        <xdr:cNvSpPr/>
      </xdr:nvSpPr>
      <xdr:spPr>
        <a:xfrm>
          <a:off x="130969" y="1404936"/>
          <a:ext cx="1809749" cy="30956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latin typeface="Arial Black" panose="020B0A04020102020204" pitchFamily="34" charset="0"/>
            </a:rPr>
            <a:t>Bem vindo(a), Fulana</a:t>
          </a:r>
        </a:p>
      </xdr:txBody>
    </xdr:sp>
    <xdr:clientData/>
  </xdr:twoCellAnchor>
  <xdr:twoCellAnchor>
    <xdr:from>
      <xdr:col>1</xdr:col>
      <xdr:colOff>397669</xdr:colOff>
      <xdr:row>2</xdr:row>
      <xdr:rowOff>119062</xdr:rowOff>
    </xdr:from>
    <xdr:to>
      <xdr:col>10</xdr:col>
      <xdr:colOff>433387</xdr:colOff>
      <xdr:row>2</xdr:row>
      <xdr:rowOff>504824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F38E1946-5EAB-F010-65AA-9B20BE82B57B}"/>
            </a:ext>
          </a:extLst>
        </xdr:cNvPr>
        <xdr:cNvSpPr/>
      </xdr:nvSpPr>
      <xdr:spPr>
        <a:xfrm>
          <a:off x="2750344" y="881062"/>
          <a:ext cx="6055518" cy="3857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Calculation period: 01/01/2024</a:t>
          </a:r>
          <a:r>
            <a:rPr lang="pt-BR" sz="1000" baseline="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- 31/12/2024</a:t>
          </a:r>
          <a:r>
            <a:rPr lang="pt-BR" sz="100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|</a:t>
          </a:r>
          <a:r>
            <a:rPr lang="pt-BR" sz="1000" baseline="0">
              <a:solidFill>
                <a:schemeClr val="bg2">
                  <a:lumMod val="50000"/>
                </a:schemeClr>
              </a:solidFill>
              <a:latin typeface="Arial Black" panose="020B0A04020102020204" pitchFamily="34" charset="0"/>
            </a:rPr>
            <a:t> Update date: 14/10/2026  18:00:00</a:t>
          </a:r>
          <a:endParaRPr lang="pt-BR" sz="1000">
            <a:solidFill>
              <a:schemeClr val="bg2">
                <a:lumMod val="50000"/>
              </a:schemeClr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Ananias" refreshedDate="46309.696259953707" createdVersion="8" refreshedVersion="8" minRefreshableVersion="3" recordCount="295" xr:uid="{2D7E0B63-FD85-49FA-BA5B-E4E6343D93A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5756007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x v="0"/>
  </r>
  <r>
    <n v="3232"/>
    <x v="1"/>
    <x v="1"/>
    <d v="2024-01-15T00:00:00"/>
    <x v="1"/>
    <n v="5"/>
    <x v="1"/>
    <x v="1"/>
    <x v="1"/>
    <s v="No"/>
    <n v="0"/>
    <n v="0"/>
    <x v="1"/>
  </r>
  <r>
    <n v="3233"/>
    <x v="2"/>
    <x v="2"/>
    <d v="2024-02-10T00:00:00"/>
    <x v="0"/>
    <n v="10"/>
    <x v="2"/>
    <x v="1"/>
    <x v="1"/>
    <s v="Yes"/>
    <n v="20"/>
    <n v="10"/>
    <x v="2"/>
  </r>
  <r>
    <n v="3234"/>
    <x v="3"/>
    <x v="0"/>
    <d v="2024-02-20T00:00:00"/>
    <x v="1"/>
    <n v="15"/>
    <x v="0"/>
    <x v="0"/>
    <x v="0"/>
    <s v="Yes"/>
    <n v="20"/>
    <n v="3"/>
    <x v="3"/>
  </r>
  <r>
    <n v="3235"/>
    <x v="4"/>
    <x v="1"/>
    <d v="2024-03-05T00:00:00"/>
    <x v="0"/>
    <n v="5"/>
    <x v="0"/>
    <x v="1"/>
    <x v="1"/>
    <s v="No"/>
    <n v="0"/>
    <n v="1"/>
    <x v="4"/>
  </r>
  <r>
    <n v="3236"/>
    <x v="5"/>
    <x v="2"/>
    <d v="2024-03-02T00:00:00"/>
    <x v="1"/>
    <n v="10"/>
    <x v="0"/>
    <x v="1"/>
    <x v="1"/>
    <s v="Yes"/>
    <n v="20"/>
    <n v="2"/>
    <x v="5"/>
  </r>
  <r>
    <n v="3237"/>
    <x v="6"/>
    <x v="0"/>
    <d v="2024-03-03T00:00:00"/>
    <x v="0"/>
    <n v="15"/>
    <x v="2"/>
    <x v="0"/>
    <x v="0"/>
    <s v="Yes"/>
    <n v="20"/>
    <n v="10"/>
    <x v="6"/>
  </r>
  <r>
    <n v="3238"/>
    <x v="7"/>
    <x v="1"/>
    <d v="2024-03-04T00:00:00"/>
    <x v="0"/>
    <n v="5"/>
    <x v="1"/>
    <x v="1"/>
    <x v="1"/>
    <s v="No"/>
    <n v="0"/>
    <n v="0"/>
    <x v="1"/>
  </r>
  <r>
    <n v="3239"/>
    <x v="8"/>
    <x v="0"/>
    <d v="2024-03-05T00:00:00"/>
    <x v="1"/>
    <n v="15"/>
    <x v="0"/>
    <x v="0"/>
    <x v="0"/>
    <s v="Yes"/>
    <n v="20"/>
    <n v="5"/>
    <x v="0"/>
  </r>
  <r>
    <n v="3240"/>
    <x v="9"/>
    <x v="2"/>
    <d v="2024-03-06T00:00:00"/>
    <x v="0"/>
    <n v="10"/>
    <x v="2"/>
    <x v="1"/>
    <x v="1"/>
    <s v="Yes"/>
    <n v="20"/>
    <n v="15"/>
    <x v="7"/>
  </r>
  <r>
    <n v="3241"/>
    <x v="10"/>
    <x v="1"/>
    <d v="2024-03-07T00:00:00"/>
    <x v="1"/>
    <n v="5"/>
    <x v="0"/>
    <x v="1"/>
    <x v="1"/>
    <s v="No"/>
    <n v="0"/>
    <n v="1"/>
    <x v="4"/>
  </r>
  <r>
    <n v="3242"/>
    <x v="11"/>
    <x v="0"/>
    <d v="2024-03-08T00:00:00"/>
    <x v="0"/>
    <n v="15"/>
    <x v="1"/>
    <x v="0"/>
    <x v="0"/>
    <s v="Yes"/>
    <n v="20"/>
    <n v="20"/>
    <x v="8"/>
  </r>
  <r>
    <n v="3243"/>
    <x v="12"/>
    <x v="2"/>
    <d v="2024-03-09T00:00:00"/>
    <x v="1"/>
    <n v="10"/>
    <x v="0"/>
    <x v="1"/>
    <x v="1"/>
    <s v="Yes"/>
    <n v="20"/>
    <n v="10"/>
    <x v="2"/>
  </r>
  <r>
    <n v="3244"/>
    <x v="13"/>
    <x v="1"/>
    <d v="2024-03-10T00:00:00"/>
    <x v="0"/>
    <n v="5"/>
    <x v="2"/>
    <x v="1"/>
    <x v="1"/>
    <s v="No"/>
    <n v="0"/>
    <n v="0"/>
    <x v="1"/>
  </r>
  <r>
    <n v="3245"/>
    <x v="14"/>
    <x v="0"/>
    <d v="2024-03-11T00:00:00"/>
    <x v="1"/>
    <n v="15"/>
    <x v="0"/>
    <x v="0"/>
    <x v="0"/>
    <s v="Yes"/>
    <n v="20"/>
    <n v="8"/>
    <x v="9"/>
  </r>
  <r>
    <n v="3246"/>
    <x v="15"/>
    <x v="2"/>
    <d v="2024-03-12T00:00:00"/>
    <x v="0"/>
    <n v="10"/>
    <x v="1"/>
    <x v="1"/>
    <x v="1"/>
    <s v="Yes"/>
    <n v="20"/>
    <n v="12"/>
    <x v="10"/>
  </r>
  <r>
    <n v="3247"/>
    <x v="16"/>
    <x v="1"/>
    <d v="2024-03-13T00:00:00"/>
    <x v="1"/>
    <n v="5"/>
    <x v="0"/>
    <x v="1"/>
    <x v="1"/>
    <s v="No"/>
    <n v="0"/>
    <n v="2"/>
    <x v="11"/>
  </r>
  <r>
    <n v="3248"/>
    <x v="17"/>
    <x v="0"/>
    <d v="2024-03-14T00:00:00"/>
    <x v="0"/>
    <n v="15"/>
    <x v="2"/>
    <x v="0"/>
    <x v="0"/>
    <s v="Yes"/>
    <n v="20"/>
    <n v="7"/>
    <x v="12"/>
  </r>
  <r>
    <n v="3249"/>
    <x v="18"/>
    <x v="2"/>
    <d v="2024-03-15T00:00:00"/>
    <x v="1"/>
    <n v="10"/>
    <x v="0"/>
    <x v="1"/>
    <x v="1"/>
    <s v="Yes"/>
    <n v="20"/>
    <n v="5"/>
    <x v="13"/>
  </r>
  <r>
    <n v="3250"/>
    <x v="19"/>
    <x v="1"/>
    <d v="2024-03-16T00:00:00"/>
    <x v="0"/>
    <n v="5"/>
    <x v="1"/>
    <x v="1"/>
    <x v="1"/>
    <s v="No"/>
    <n v="0"/>
    <n v="0"/>
    <x v="1"/>
  </r>
  <r>
    <n v="3251"/>
    <x v="20"/>
    <x v="0"/>
    <d v="2024-03-17T00:00:00"/>
    <x v="1"/>
    <n v="15"/>
    <x v="0"/>
    <x v="0"/>
    <x v="0"/>
    <s v="Yes"/>
    <n v="20"/>
    <n v="3"/>
    <x v="3"/>
  </r>
  <r>
    <n v="3252"/>
    <x v="21"/>
    <x v="2"/>
    <d v="2024-03-18T00:00:00"/>
    <x v="0"/>
    <n v="10"/>
    <x v="2"/>
    <x v="1"/>
    <x v="1"/>
    <s v="Yes"/>
    <n v="20"/>
    <n v="15"/>
    <x v="7"/>
  </r>
  <r>
    <n v="3253"/>
    <x v="22"/>
    <x v="1"/>
    <d v="2024-03-19T00:00:00"/>
    <x v="1"/>
    <n v="5"/>
    <x v="0"/>
    <x v="1"/>
    <x v="1"/>
    <s v="No"/>
    <n v="0"/>
    <n v="1"/>
    <x v="4"/>
  </r>
  <r>
    <n v="3254"/>
    <x v="23"/>
    <x v="0"/>
    <d v="2024-03-20T00:00:00"/>
    <x v="0"/>
    <n v="15"/>
    <x v="1"/>
    <x v="0"/>
    <x v="0"/>
    <s v="Yes"/>
    <n v="20"/>
    <n v="20"/>
    <x v="8"/>
  </r>
  <r>
    <n v="3255"/>
    <x v="24"/>
    <x v="2"/>
    <d v="2024-03-21T00:00:00"/>
    <x v="1"/>
    <n v="10"/>
    <x v="0"/>
    <x v="1"/>
    <x v="1"/>
    <s v="Yes"/>
    <n v="20"/>
    <n v="10"/>
    <x v="2"/>
  </r>
  <r>
    <n v="3256"/>
    <x v="25"/>
    <x v="1"/>
    <d v="2024-03-22T00:00:00"/>
    <x v="0"/>
    <n v="5"/>
    <x v="2"/>
    <x v="1"/>
    <x v="1"/>
    <s v="No"/>
    <n v="0"/>
    <n v="0"/>
    <x v="1"/>
  </r>
  <r>
    <n v="3257"/>
    <x v="26"/>
    <x v="0"/>
    <d v="2024-03-23T00:00:00"/>
    <x v="1"/>
    <n v="15"/>
    <x v="0"/>
    <x v="0"/>
    <x v="0"/>
    <s v="Yes"/>
    <n v="20"/>
    <n v="5"/>
    <x v="0"/>
  </r>
  <r>
    <n v="3258"/>
    <x v="27"/>
    <x v="2"/>
    <d v="2024-03-24T00:00:00"/>
    <x v="0"/>
    <n v="10"/>
    <x v="1"/>
    <x v="1"/>
    <x v="1"/>
    <s v="Yes"/>
    <n v="20"/>
    <n v="15"/>
    <x v="7"/>
  </r>
  <r>
    <n v="3259"/>
    <x v="28"/>
    <x v="1"/>
    <d v="2024-03-25T00:00:00"/>
    <x v="1"/>
    <n v="5"/>
    <x v="0"/>
    <x v="1"/>
    <x v="1"/>
    <s v="No"/>
    <n v="0"/>
    <n v="1"/>
    <x v="4"/>
  </r>
  <r>
    <n v="3260"/>
    <x v="29"/>
    <x v="0"/>
    <d v="2024-03-26T00:00:00"/>
    <x v="0"/>
    <n v="15"/>
    <x v="2"/>
    <x v="0"/>
    <x v="0"/>
    <s v="Yes"/>
    <n v="20"/>
    <n v="7"/>
    <x v="12"/>
  </r>
  <r>
    <n v="3261"/>
    <x v="30"/>
    <x v="2"/>
    <d v="2024-03-27T00:00:00"/>
    <x v="1"/>
    <n v="10"/>
    <x v="0"/>
    <x v="1"/>
    <x v="1"/>
    <s v="Yes"/>
    <n v="20"/>
    <n v="10"/>
    <x v="2"/>
  </r>
  <r>
    <n v="3262"/>
    <x v="31"/>
    <x v="1"/>
    <d v="2024-03-28T00:00:00"/>
    <x v="0"/>
    <n v="5"/>
    <x v="1"/>
    <x v="1"/>
    <x v="1"/>
    <s v="No"/>
    <n v="0"/>
    <n v="0"/>
    <x v="1"/>
  </r>
  <r>
    <n v="3263"/>
    <x v="32"/>
    <x v="0"/>
    <d v="2024-03-29T00:00:00"/>
    <x v="1"/>
    <n v="15"/>
    <x v="0"/>
    <x v="0"/>
    <x v="0"/>
    <s v="Yes"/>
    <n v="20"/>
    <n v="3"/>
    <x v="3"/>
  </r>
  <r>
    <n v="3264"/>
    <x v="33"/>
    <x v="2"/>
    <d v="2024-03-30T00:00:00"/>
    <x v="0"/>
    <n v="10"/>
    <x v="2"/>
    <x v="1"/>
    <x v="1"/>
    <s v="Yes"/>
    <n v="20"/>
    <n v="15"/>
    <x v="7"/>
  </r>
  <r>
    <n v="3265"/>
    <x v="34"/>
    <x v="1"/>
    <d v="2024-03-31T00:00:00"/>
    <x v="1"/>
    <n v="5"/>
    <x v="0"/>
    <x v="1"/>
    <x v="1"/>
    <s v="No"/>
    <n v="0"/>
    <n v="1"/>
    <x v="4"/>
  </r>
  <r>
    <n v="3266"/>
    <x v="35"/>
    <x v="1"/>
    <d v="2024-04-01T00:00:00"/>
    <x v="0"/>
    <n v="5"/>
    <x v="0"/>
    <x v="1"/>
    <x v="1"/>
    <s v="No"/>
    <n v="0"/>
    <n v="0"/>
    <x v="1"/>
  </r>
  <r>
    <n v="3267"/>
    <x v="36"/>
    <x v="0"/>
    <d v="2024-04-02T00:00:00"/>
    <x v="1"/>
    <n v="15"/>
    <x v="2"/>
    <x v="0"/>
    <x v="0"/>
    <s v="Yes"/>
    <n v="20"/>
    <n v="7"/>
    <x v="12"/>
  </r>
  <r>
    <n v="3268"/>
    <x v="37"/>
    <x v="2"/>
    <d v="2024-04-03T00:00:00"/>
    <x v="0"/>
    <n v="10"/>
    <x v="1"/>
    <x v="1"/>
    <x v="1"/>
    <s v="Yes"/>
    <n v="20"/>
    <n v="10"/>
    <x v="2"/>
  </r>
  <r>
    <n v="3269"/>
    <x v="38"/>
    <x v="1"/>
    <d v="2024-04-04T00:00:00"/>
    <x v="1"/>
    <n v="5"/>
    <x v="2"/>
    <x v="1"/>
    <x v="1"/>
    <s v="No"/>
    <n v="0"/>
    <n v="1"/>
    <x v="4"/>
  </r>
  <r>
    <n v="3270"/>
    <x v="39"/>
    <x v="0"/>
    <d v="2024-04-05T00:00:00"/>
    <x v="0"/>
    <n v="15"/>
    <x v="0"/>
    <x v="0"/>
    <x v="0"/>
    <s v="Yes"/>
    <n v="20"/>
    <n v="15"/>
    <x v="14"/>
  </r>
  <r>
    <n v="3271"/>
    <x v="40"/>
    <x v="2"/>
    <d v="2024-04-06T00:00:00"/>
    <x v="1"/>
    <n v="10"/>
    <x v="0"/>
    <x v="1"/>
    <x v="1"/>
    <s v="Yes"/>
    <n v="20"/>
    <n v="5"/>
    <x v="13"/>
  </r>
  <r>
    <n v="3272"/>
    <x v="41"/>
    <x v="1"/>
    <d v="2024-04-07T00:00:00"/>
    <x v="0"/>
    <n v="5"/>
    <x v="1"/>
    <x v="1"/>
    <x v="1"/>
    <s v="No"/>
    <n v="0"/>
    <n v="0"/>
    <x v="1"/>
  </r>
  <r>
    <n v="3273"/>
    <x v="42"/>
    <x v="0"/>
    <d v="2024-04-08T00:00:00"/>
    <x v="1"/>
    <n v="15"/>
    <x v="2"/>
    <x v="0"/>
    <x v="0"/>
    <s v="Yes"/>
    <n v="20"/>
    <n v="20"/>
    <x v="8"/>
  </r>
  <r>
    <n v="3274"/>
    <x v="43"/>
    <x v="2"/>
    <d v="2024-04-09T00:00:00"/>
    <x v="0"/>
    <n v="10"/>
    <x v="2"/>
    <x v="1"/>
    <x v="1"/>
    <s v="Yes"/>
    <n v="20"/>
    <n v="12"/>
    <x v="10"/>
  </r>
  <r>
    <n v="3275"/>
    <x v="44"/>
    <x v="1"/>
    <d v="2024-04-10T00:00:00"/>
    <x v="1"/>
    <n v="5"/>
    <x v="0"/>
    <x v="1"/>
    <x v="1"/>
    <s v="No"/>
    <n v="0"/>
    <n v="2"/>
    <x v="11"/>
  </r>
  <r>
    <n v="3276"/>
    <x v="45"/>
    <x v="0"/>
    <d v="2024-04-11T00:00:00"/>
    <x v="0"/>
    <n v="15"/>
    <x v="1"/>
    <x v="0"/>
    <x v="0"/>
    <s v="Yes"/>
    <n v="20"/>
    <n v="5"/>
    <x v="0"/>
  </r>
  <r>
    <n v="3277"/>
    <x v="46"/>
    <x v="2"/>
    <d v="2024-04-12T00:00:00"/>
    <x v="1"/>
    <n v="10"/>
    <x v="0"/>
    <x v="1"/>
    <x v="1"/>
    <s v="Yes"/>
    <n v="20"/>
    <n v="10"/>
    <x v="2"/>
  </r>
  <r>
    <n v="3278"/>
    <x v="47"/>
    <x v="1"/>
    <d v="2024-04-13T00:00:00"/>
    <x v="0"/>
    <n v="5"/>
    <x v="2"/>
    <x v="1"/>
    <x v="1"/>
    <s v="No"/>
    <n v="0"/>
    <n v="0"/>
    <x v="1"/>
  </r>
  <r>
    <n v="3279"/>
    <x v="48"/>
    <x v="0"/>
    <d v="2024-04-14T00:00:00"/>
    <x v="1"/>
    <n v="15"/>
    <x v="0"/>
    <x v="0"/>
    <x v="0"/>
    <s v="Yes"/>
    <n v="20"/>
    <n v="3"/>
    <x v="3"/>
  </r>
  <r>
    <n v="3280"/>
    <x v="49"/>
    <x v="2"/>
    <d v="2024-04-15T00:00:00"/>
    <x v="0"/>
    <n v="10"/>
    <x v="1"/>
    <x v="1"/>
    <x v="1"/>
    <s v="Yes"/>
    <n v="20"/>
    <n v="15"/>
    <x v="7"/>
  </r>
  <r>
    <n v="3281"/>
    <x v="50"/>
    <x v="1"/>
    <d v="2024-04-16T00:00:00"/>
    <x v="1"/>
    <n v="5"/>
    <x v="0"/>
    <x v="1"/>
    <x v="1"/>
    <s v="No"/>
    <n v="0"/>
    <n v="1"/>
    <x v="4"/>
  </r>
  <r>
    <n v="3282"/>
    <x v="51"/>
    <x v="0"/>
    <d v="2024-04-17T00:00:00"/>
    <x v="0"/>
    <n v="15"/>
    <x v="2"/>
    <x v="0"/>
    <x v="0"/>
    <s v="Yes"/>
    <n v="20"/>
    <n v="7"/>
    <x v="12"/>
  </r>
  <r>
    <n v="3283"/>
    <x v="52"/>
    <x v="2"/>
    <d v="2024-04-18T00:00:00"/>
    <x v="1"/>
    <n v="10"/>
    <x v="0"/>
    <x v="1"/>
    <x v="1"/>
    <s v="Yes"/>
    <n v="20"/>
    <n v="10"/>
    <x v="2"/>
  </r>
  <r>
    <n v="3284"/>
    <x v="53"/>
    <x v="1"/>
    <d v="2024-04-19T00:00:00"/>
    <x v="0"/>
    <n v="5"/>
    <x v="1"/>
    <x v="1"/>
    <x v="1"/>
    <s v="No"/>
    <n v="0"/>
    <n v="0"/>
    <x v="1"/>
  </r>
  <r>
    <n v="3285"/>
    <x v="54"/>
    <x v="0"/>
    <d v="2024-04-20T00:00:00"/>
    <x v="1"/>
    <n v="15"/>
    <x v="0"/>
    <x v="0"/>
    <x v="0"/>
    <s v="Yes"/>
    <n v="20"/>
    <n v="20"/>
    <x v="8"/>
  </r>
  <r>
    <n v="3286"/>
    <x v="55"/>
    <x v="2"/>
    <d v="2024-04-21T00:00:00"/>
    <x v="0"/>
    <n v="10"/>
    <x v="2"/>
    <x v="1"/>
    <x v="1"/>
    <s v="Yes"/>
    <n v="20"/>
    <n v="15"/>
    <x v="7"/>
  </r>
  <r>
    <n v="3287"/>
    <x v="56"/>
    <x v="1"/>
    <d v="2024-04-22T00:00:00"/>
    <x v="1"/>
    <n v="5"/>
    <x v="0"/>
    <x v="1"/>
    <x v="1"/>
    <s v="No"/>
    <n v="0"/>
    <n v="1"/>
    <x v="4"/>
  </r>
  <r>
    <n v="3288"/>
    <x v="57"/>
    <x v="0"/>
    <d v="2024-04-23T00:00:00"/>
    <x v="0"/>
    <n v="15"/>
    <x v="1"/>
    <x v="0"/>
    <x v="0"/>
    <s v="Yes"/>
    <n v="20"/>
    <n v="3"/>
    <x v="3"/>
  </r>
  <r>
    <n v="3289"/>
    <x v="58"/>
    <x v="2"/>
    <d v="2024-04-24T00:00:00"/>
    <x v="1"/>
    <n v="10"/>
    <x v="0"/>
    <x v="1"/>
    <x v="1"/>
    <s v="Yes"/>
    <n v="20"/>
    <n v="10"/>
    <x v="2"/>
  </r>
  <r>
    <n v="3290"/>
    <x v="59"/>
    <x v="1"/>
    <d v="2024-04-25T00:00:00"/>
    <x v="0"/>
    <n v="5"/>
    <x v="2"/>
    <x v="1"/>
    <x v="1"/>
    <s v="No"/>
    <n v="0"/>
    <n v="0"/>
    <x v="1"/>
  </r>
  <r>
    <n v="3291"/>
    <x v="60"/>
    <x v="0"/>
    <d v="2024-04-26T00:00:00"/>
    <x v="1"/>
    <n v="15"/>
    <x v="0"/>
    <x v="0"/>
    <x v="0"/>
    <s v="Yes"/>
    <n v="20"/>
    <n v="5"/>
    <x v="0"/>
  </r>
  <r>
    <n v="3292"/>
    <x v="61"/>
    <x v="2"/>
    <d v="2024-04-27T00:00:00"/>
    <x v="0"/>
    <n v="10"/>
    <x v="1"/>
    <x v="1"/>
    <x v="1"/>
    <s v="Yes"/>
    <n v="20"/>
    <n v="15"/>
    <x v="7"/>
  </r>
  <r>
    <n v="3293"/>
    <x v="62"/>
    <x v="1"/>
    <d v="2024-04-28T00:00:00"/>
    <x v="1"/>
    <n v="5"/>
    <x v="0"/>
    <x v="1"/>
    <x v="1"/>
    <s v="No"/>
    <n v="0"/>
    <n v="1"/>
    <x v="4"/>
  </r>
  <r>
    <n v="3294"/>
    <x v="63"/>
    <x v="0"/>
    <d v="2024-04-29T00:00:00"/>
    <x v="0"/>
    <n v="15"/>
    <x v="2"/>
    <x v="0"/>
    <x v="0"/>
    <s v="Yes"/>
    <n v="20"/>
    <n v="20"/>
    <x v="8"/>
  </r>
  <r>
    <n v="3295"/>
    <x v="64"/>
    <x v="2"/>
    <d v="2024-04-30T00:00:00"/>
    <x v="1"/>
    <n v="10"/>
    <x v="0"/>
    <x v="1"/>
    <x v="1"/>
    <s v="Yes"/>
    <n v="20"/>
    <n v="5"/>
    <x v="13"/>
  </r>
  <r>
    <n v="3296"/>
    <x v="65"/>
    <x v="1"/>
    <d v="2024-05-01T00:00:00"/>
    <x v="1"/>
    <n v="5"/>
    <x v="0"/>
    <x v="1"/>
    <x v="1"/>
    <s v="No"/>
    <n v="0"/>
    <n v="0"/>
    <x v="1"/>
  </r>
  <r>
    <n v="3297"/>
    <x v="66"/>
    <x v="0"/>
    <d v="2024-05-02T00:00:00"/>
    <x v="0"/>
    <n v="15"/>
    <x v="2"/>
    <x v="0"/>
    <x v="0"/>
    <s v="Yes"/>
    <n v="20"/>
    <n v="7"/>
    <x v="12"/>
  </r>
  <r>
    <n v="3298"/>
    <x v="67"/>
    <x v="2"/>
    <d v="2024-05-03T00:00:00"/>
    <x v="1"/>
    <n v="10"/>
    <x v="1"/>
    <x v="1"/>
    <x v="1"/>
    <s v="Yes"/>
    <n v="20"/>
    <n v="10"/>
    <x v="2"/>
  </r>
  <r>
    <n v="3299"/>
    <x v="68"/>
    <x v="1"/>
    <d v="2024-05-04T00:00:00"/>
    <x v="0"/>
    <n v="5"/>
    <x v="2"/>
    <x v="1"/>
    <x v="1"/>
    <s v="No"/>
    <n v="0"/>
    <n v="1"/>
    <x v="4"/>
  </r>
  <r>
    <n v="3300"/>
    <x v="69"/>
    <x v="0"/>
    <d v="2024-05-05T00:00:00"/>
    <x v="1"/>
    <n v="15"/>
    <x v="0"/>
    <x v="0"/>
    <x v="0"/>
    <s v="Yes"/>
    <n v="20"/>
    <n v="15"/>
    <x v="14"/>
  </r>
  <r>
    <n v="3301"/>
    <x v="70"/>
    <x v="2"/>
    <d v="2024-05-06T00:00:00"/>
    <x v="0"/>
    <n v="10"/>
    <x v="0"/>
    <x v="1"/>
    <x v="1"/>
    <s v="Yes"/>
    <n v="20"/>
    <n v="5"/>
    <x v="13"/>
  </r>
  <r>
    <n v="3302"/>
    <x v="71"/>
    <x v="1"/>
    <d v="2024-05-07T00:00:00"/>
    <x v="1"/>
    <n v="5"/>
    <x v="1"/>
    <x v="1"/>
    <x v="1"/>
    <s v="No"/>
    <n v="0"/>
    <n v="0"/>
    <x v="1"/>
  </r>
  <r>
    <n v="3303"/>
    <x v="72"/>
    <x v="0"/>
    <d v="2024-05-08T00:00:00"/>
    <x v="0"/>
    <n v="15"/>
    <x v="2"/>
    <x v="0"/>
    <x v="0"/>
    <s v="Yes"/>
    <n v="20"/>
    <n v="20"/>
    <x v="8"/>
  </r>
  <r>
    <n v="3304"/>
    <x v="73"/>
    <x v="2"/>
    <d v="2024-05-09T00:00:00"/>
    <x v="1"/>
    <n v="10"/>
    <x v="2"/>
    <x v="1"/>
    <x v="1"/>
    <s v="Yes"/>
    <n v="20"/>
    <n v="12"/>
    <x v="10"/>
  </r>
  <r>
    <n v="3305"/>
    <x v="74"/>
    <x v="1"/>
    <d v="2024-05-10T00:00:00"/>
    <x v="0"/>
    <n v="5"/>
    <x v="0"/>
    <x v="1"/>
    <x v="1"/>
    <s v="No"/>
    <n v="0"/>
    <n v="2"/>
    <x v="11"/>
  </r>
  <r>
    <n v="3306"/>
    <x v="75"/>
    <x v="0"/>
    <d v="2024-05-11T00:00:00"/>
    <x v="1"/>
    <n v="15"/>
    <x v="1"/>
    <x v="0"/>
    <x v="0"/>
    <s v="Yes"/>
    <n v="20"/>
    <n v="5"/>
    <x v="0"/>
  </r>
  <r>
    <n v="3307"/>
    <x v="76"/>
    <x v="2"/>
    <d v="2024-05-12T00:00:00"/>
    <x v="0"/>
    <n v="10"/>
    <x v="0"/>
    <x v="1"/>
    <x v="1"/>
    <s v="Yes"/>
    <n v="20"/>
    <n v="10"/>
    <x v="2"/>
  </r>
  <r>
    <n v="3308"/>
    <x v="77"/>
    <x v="1"/>
    <d v="2024-05-13T00:00:00"/>
    <x v="1"/>
    <n v="5"/>
    <x v="2"/>
    <x v="1"/>
    <x v="1"/>
    <s v="No"/>
    <n v="0"/>
    <n v="0"/>
    <x v="1"/>
  </r>
  <r>
    <n v="3309"/>
    <x v="78"/>
    <x v="0"/>
    <d v="2024-05-14T00:00:00"/>
    <x v="0"/>
    <n v="15"/>
    <x v="0"/>
    <x v="0"/>
    <x v="0"/>
    <s v="Yes"/>
    <n v="20"/>
    <n v="3"/>
    <x v="3"/>
  </r>
  <r>
    <n v="3310"/>
    <x v="79"/>
    <x v="2"/>
    <d v="2024-05-15T00:00:00"/>
    <x v="1"/>
    <n v="10"/>
    <x v="1"/>
    <x v="1"/>
    <x v="1"/>
    <s v="Yes"/>
    <n v="20"/>
    <n v="15"/>
    <x v="7"/>
  </r>
  <r>
    <n v="3311"/>
    <x v="80"/>
    <x v="1"/>
    <d v="2024-05-16T00:00:00"/>
    <x v="0"/>
    <n v="5"/>
    <x v="0"/>
    <x v="1"/>
    <x v="1"/>
    <s v="No"/>
    <n v="0"/>
    <n v="1"/>
    <x v="4"/>
  </r>
  <r>
    <n v="3312"/>
    <x v="81"/>
    <x v="0"/>
    <d v="2024-05-17T00:00:00"/>
    <x v="1"/>
    <n v="15"/>
    <x v="2"/>
    <x v="0"/>
    <x v="0"/>
    <s v="Yes"/>
    <n v="20"/>
    <n v="7"/>
    <x v="12"/>
  </r>
  <r>
    <n v="3313"/>
    <x v="82"/>
    <x v="2"/>
    <d v="2024-05-18T00:00:00"/>
    <x v="0"/>
    <n v="10"/>
    <x v="0"/>
    <x v="1"/>
    <x v="1"/>
    <s v="Yes"/>
    <n v="20"/>
    <n v="10"/>
    <x v="2"/>
  </r>
  <r>
    <n v="3314"/>
    <x v="83"/>
    <x v="1"/>
    <d v="2024-05-19T00:00:00"/>
    <x v="1"/>
    <n v="5"/>
    <x v="1"/>
    <x v="1"/>
    <x v="1"/>
    <s v="No"/>
    <n v="0"/>
    <n v="0"/>
    <x v="1"/>
  </r>
  <r>
    <n v="3315"/>
    <x v="84"/>
    <x v="0"/>
    <d v="2024-05-20T00:00:00"/>
    <x v="0"/>
    <n v="15"/>
    <x v="0"/>
    <x v="0"/>
    <x v="0"/>
    <s v="Yes"/>
    <n v="20"/>
    <n v="20"/>
    <x v="8"/>
  </r>
  <r>
    <n v="3316"/>
    <x v="85"/>
    <x v="2"/>
    <d v="2024-05-21T00:00:00"/>
    <x v="1"/>
    <n v="10"/>
    <x v="2"/>
    <x v="1"/>
    <x v="1"/>
    <s v="Yes"/>
    <n v="20"/>
    <n v="15"/>
    <x v="7"/>
  </r>
  <r>
    <n v="3317"/>
    <x v="86"/>
    <x v="1"/>
    <d v="2024-05-22T00:00:00"/>
    <x v="0"/>
    <n v="5"/>
    <x v="0"/>
    <x v="1"/>
    <x v="1"/>
    <s v="No"/>
    <n v="0"/>
    <n v="1"/>
    <x v="4"/>
  </r>
  <r>
    <n v="3318"/>
    <x v="87"/>
    <x v="0"/>
    <d v="2024-05-23T00:00:00"/>
    <x v="1"/>
    <n v="15"/>
    <x v="1"/>
    <x v="0"/>
    <x v="0"/>
    <s v="Yes"/>
    <n v="20"/>
    <n v="3"/>
    <x v="3"/>
  </r>
  <r>
    <n v="3319"/>
    <x v="88"/>
    <x v="2"/>
    <d v="2024-05-24T00:00:00"/>
    <x v="0"/>
    <n v="10"/>
    <x v="0"/>
    <x v="1"/>
    <x v="1"/>
    <s v="Yes"/>
    <n v="20"/>
    <n v="10"/>
    <x v="2"/>
  </r>
  <r>
    <n v="3320"/>
    <x v="89"/>
    <x v="1"/>
    <d v="2024-05-25T00:00:00"/>
    <x v="1"/>
    <n v="5"/>
    <x v="2"/>
    <x v="1"/>
    <x v="1"/>
    <s v="No"/>
    <n v="0"/>
    <n v="0"/>
    <x v="1"/>
  </r>
  <r>
    <n v="3321"/>
    <x v="90"/>
    <x v="0"/>
    <d v="2024-05-26T00:00:00"/>
    <x v="0"/>
    <n v="15"/>
    <x v="0"/>
    <x v="0"/>
    <x v="0"/>
    <s v="Yes"/>
    <n v="20"/>
    <n v="5"/>
    <x v="0"/>
  </r>
  <r>
    <n v="3322"/>
    <x v="91"/>
    <x v="2"/>
    <d v="2024-05-27T00:00:00"/>
    <x v="1"/>
    <n v="10"/>
    <x v="1"/>
    <x v="1"/>
    <x v="1"/>
    <s v="Yes"/>
    <n v="20"/>
    <n v="15"/>
    <x v="7"/>
  </r>
  <r>
    <n v="3323"/>
    <x v="92"/>
    <x v="1"/>
    <d v="2024-05-28T00:00:00"/>
    <x v="0"/>
    <n v="5"/>
    <x v="0"/>
    <x v="1"/>
    <x v="1"/>
    <s v="No"/>
    <n v="0"/>
    <n v="1"/>
    <x v="4"/>
  </r>
  <r>
    <n v="3324"/>
    <x v="93"/>
    <x v="0"/>
    <d v="2024-05-29T00:00:00"/>
    <x v="1"/>
    <n v="15"/>
    <x v="2"/>
    <x v="0"/>
    <x v="0"/>
    <s v="Yes"/>
    <n v="20"/>
    <n v="20"/>
    <x v="8"/>
  </r>
  <r>
    <n v="3325"/>
    <x v="94"/>
    <x v="2"/>
    <d v="2024-05-30T00:00:00"/>
    <x v="0"/>
    <n v="10"/>
    <x v="2"/>
    <x v="1"/>
    <x v="1"/>
    <s v="Yes"/>
    <n v="20"/>
    <n v="15"/>
    <x v="7"/>
  </r>
  <r>
    <n v="3326"/>
    <x v="95"/>
    <x v="1"/>
    <d v="2024-05-31T00:00:00"/>
    <x v="1"/>
    <n v="5"/>
    <x v="1"/>
    <x v="1"/>
    <x v="1"/>
    <s v="No"/>
    <n v="0"/>
    <n v="0"/>
    <x v="1"/>
  </r>
  <r>
    <n v="3327"/>
    <x v="96"/>
    <x v="0"/>
    <d v="2024-06-01T00:00:00"/>
    <x v="0"/>
    <n v="15"/>
    <x v="0"/>
    <x v="0"/>
    <x v="0"/>
    <s v="Yes"/>
    <n v="20"/>
    <n v="7"/>
    <x v="12"/>
  </r>
  <r>
    <n v="3328"/>
    <x v="97"/>
    <x v="2"/>
    <d v="2024-06-02T00:00:00"/>
    <x v="1"/>
    <n v="10"/>
    <x v="1"/>
    <x v="1"/>
    <x v="1"/>
    <s v="Yes"/>
    <n v="20"/>
    <n v="10"/>
    <x v="2"/>
  </r>
  <r>
    <n v="3329"/>
    <x v="98"/>
    <x v="1"/>
    <d v="2024-06-03T00:00:00"/>
    <x v="0"/>
    <n v="5"/>
    <x v="2"/>
    <x v="1"/>
    <x v="1"/>
    <s v="No"/>
    <n v="0"/>
    <n v="1"/>
    <x v="4"/>
  </r>
  <r>
    <n v="3330"/>
    <x v="99"/>
    <x v="0"/>
    <d v="2024-06-04T00:00:00"/>
    <x v="1"/>
    <n v="15"/>
    <x v="0"/>
    <x v="0"/>
    <x v="0"/>
    <s v="Yes"/>
    <n v="20"/>
    <n v="15"/>
    <x v="14"/>
  </r>
  <r>
    <n v="3331"/>
    <x v="100"/>
    <x v="2"/>
    <d v="2024-06-05T00:00:00"/>
    <x v="0"/>
    <n v="10"/>
    <x v="0"/>
    <x v="1"/>
    <x v="1"/>
    <s v="Yes"/>
    <n v="20"/>
    <n v="5"/>
    <x v="13"/>
  </r>
  <r>
    <n v="3332"/>
    <x v="101"/>
    <x v="1"/>
    <d v="2024-06-06T00:00:00"/>
    <x v="1"/>
    <n v="5"/>
    <x v="1"/>
    <x v="1"/>
    <x v="1"/>
    <s v="No"/>
    <n v="0"/>
    <n v="0"/>
    <x v="1"/>
  </r>
  <r>
    <n v="3333"/>
    <x v="102"/>
    <x v="0"/>
    <d v="2024-06-07T00:00:00"/>
    <x v="0"/>
    <n v="15"/>
    <x v="2"/>
    <x v="0"/>
    <x v="0"/>
    <s v="Yes"/>
    <n v="20"/>
    <n v="20"/>
    <x v="8"/>
  </r>
  <r>
    <n v="3334"/>
    <x v="103"/>
    <x v="2"/>
    <d v="2024-06-08T00:00:00"/>
    <x v="1"/>
    <n v="10"/>
    <x v="2"/>
    <x v="1"/>
    <x v="1"/>
    <s v="Yes"/>
    <n v="20"/>
    <n v="12"/>
    <x v="10"/>
  </r>
  <r>
    <n v="3335"/>
    <x v="104"/>
    <x v="1"/>
    <d v="2024-06-09T00:00:00"/>
    <x v="0"/>
    <n v="5"/>
    <x v="0"/>
    <x v="1"/>
    <x v="1"/>
    <s v="No"/>
    <n v="0"/>
    <n v="2"/>
    <x v="11"/>
  </r>
  <r>
    <n v="3336"/>
    <x v="105"/>
    <x v="1"/>
    <d v="2024-06-10T00:00:00"/>
    <x v="0"/>
    <n v="5"/>
    <x v="0"/>
    <x v="1"/>
    <x v="1"/>
    <s v="No"/>
    <n v="0"/>
    <n v="0"/>
    <x v="1"/>
  </r>
  <r>
    <n v="3337"/>
    <x v="106"/>
    <x v="0"/>
    <d v="2024-06-11T00:00:00"/>
    <x v="1"/>
    <n v="15"/>
    <x v="2"/>
    <x v="0"/>
    <x v="0"/>
    <s v="Yes"/>
    <n v="20"/>
    <n v="7"/>
    <x v="12"/>
  </r>
  <r>
    <n v="3338"/>
    <x v="107"/>
    <x v="2"/>
    <d v="2024-06-12T00:00:00"/>
    <x v="0"/>
    <n v="10"/>
    <x v="1"/>
    <x v="1"/>
    <x v="1"/>
    <s v="Yes"/>
    <n v="20"/>
    <n v="10"/>
    <x v="2"/>
  </r>
  <r>
    <n v="3339"/>
    <x v="108"/>
    <x v="1"/>
    <d v="2024-06-13T00:00:00"/>
    <x v="1"/>
    <n v="5"/>
    <x v="2"/>
    <x v="1"/>
    <x v="1"/>
    <s v="No"/>
    <n v="0"/>
    <n v="1"/>
    <x v="4"/>
  </r>
  <r>
    <n v="3340"/>
    <x v="109"/>
    <x v="0"/>
    <d v="2024-06-14T00:00:00"/>
    <x v="0"/>
    <n v="15"/>
    <x v="0"/>
    <x v="0"/>
    <x v="0"/>
    <s v="Yes"/>
    <n v="20"/>
    <n v="15"/>
    <x v="14"/>
  </r>
  <r>
    <n v="3341"/>
    <x v="110"/>
    <x v="2"/>
    <d v="2024-06-15T00:00:00"/>
    <x v="1"/>
    <n v="10"/>
    <x v="0"/>
    <x v="1"/>
    <x v="1"/>
    <s v="Yes"/>
    <n v="20"/>
    <n v="5"/>
    <x v="13"/>
  </r>
  <r>
    <n v="3342"/>
    <x v="111"/>
    <x v="1"/>
    <d v="2024-06-16T00:00:00"/>
    <x v="0"/>
    <n v="5"/>
    <x v="1"/>
    <x v="1"/>
    <x v="1"/>
    <s v="No"/>
    <n v="0"/>
    <n v="0"/>
    <x v="1"/>
  </r>
  <r>
    <n v="3343"/>
    <x v="112"/>
    <x v="0"/>
    <d v="2024-06-17T00:00:00"/>
    <x v="1"/>
    <n v="15"/>
    <x v="2"/>
    <x v="0"/>
    <x v="0"/>
    <s v="Yes"/>
    <n v="20"/>
    <n v="20"/>
    <x v="8"/>
  </r>
  <r>
    <n v="3344"/>
    <x v="113"/>
    <x v="2"/>
    <d v="2024-06-18T00:00:00"/>
    <x v="0"/>
    <n v="10"/>
    <x v="2"/>
    <x v="1"/>
    <x v="1"/>
    <s v="Yes"/>
    <n v="20"/>
    <n v="12"/>
    <x v="10"/>
  </r>
  <r>
    <n v="3345"/>
    <x v="114"/>
    <x v="1"/>
    <d v="2024-06-19T00:00:00"/>
    <x v="1"/>
    <n v="5"/>
    <x v="0"/>
    <x v="1"/>
    <x v="1"/>
    <s v="No"/>
    <n v="0"/>
    <n v="2"/>
    <x v="11"/>
  </r>
  <r>
    <n v="3346"/>
    <x v="115"/>
    <x v="0"/>
    <d v="2024-06-20T00:00:00"/>
    <x v="0"/>
    <n v="15"/>
    <x v="1"/>
    <x v="0"/>
    <x v="0"/>
    <s v="Yes"/>
    <n v="20"/>
    <n v="5"/>
    <x v="0"/>
  </r>
  <r>
    <n v="3347"/>
    <x v="116"/>
    <x v="2"/>
    <d v="2024-06-21T00:00:00"/>
    <x v="1"/>
    <n v="10"/>
    <x v="0"/>
    <x v="1"/>
    <x v="1"/>
    <s v="Yes"/>
    <n v="20"/>
    <n v="10"/>
    <x v="2"/>
  </r>
  <r>
    <n v="3348"/>
    <x v="117"/>
    <x v="1"/>
    <d v="2024-06-22T00:00:00"/>
    <x v="0"/>
    <n v="5"/>
    <x v="2"/>
    <x v="1"/>
    <x v="1"/>
    <s v="No"/>
    <n v="0"/>
    <n v="0"/>
    <x v="1"/>
  </r>
  <r>
    <n v="3349"/>
    <x v="93"/>
    <x v="0"/>
    <d v="2024-06-23T00:00:00"/>
    <x v="1"/>
    <n v="15"/>
    <x v="0"/>
    <x v="0"/>
    <x v="0"/>
    <s v="Yes"/>
    <n v="20"/>
    <n v="3"/>
    <x v="3"/>
  </r>
  <r>
    <n v="3350"/>
    <x v="118"/>
    <x v="2"/>
    <d v="2024-06-24T00:00:00"/>
    <x v="0"/>
    <n v="10"/>
    <x v="1"/>
    <x v="1"/>
    <x v="1"/>
    <s v="Yes"/>
    <n v="20"/>
    <n v="15"/>
    <x v="7"/>
  </r>
  <r>
    <n v="3351"/>
    <x v="119"/>
    <x v="1"/>
    <d v="2024-06-25T00:00:00"/>
    <x v="1"/>
    <n v="5"/>
    <x v="0"/>
    <x v="1"/>
    <x v="1"/>
    <s v="No"/>
    <n v="0"/>
    <n v="1"/>
    <x v="4"/>
  </r>
  <r>
    <n v="3352"/>
    <x v="120"/>
    <x v="0"/>
    <d v="2024-06-26T00:00:00"/>
    <x v="0"/>
    <n v="15"/>
    <x v="2"/>
    <x v="0"/>
    <x v="0"/>
    <s v="Yes"/>
    <n v="20"/>
    <n v="7"/>
    <x v="12"/>
  </r>
  <r>
    <n v="3353"/>
    <x v="121"/>
    <x v="2"/>
    <d v="2024-06-27T00:00:00"/>
    <x v="1"/>
    <n v="10"/>
    <x v="0"/>
    <x v="1"/>
    <x v="1"/>
    <s v="Yes"/>
    <n v="20"/>
    <n v="10"/>
    <x v="2"/>
  </r>
  <r>
    <n v="3354"/>
    <x v="122"/>
    <x v="1"/>
    <d v="2024-06-28T00:00:00"/>
    <x v="0"/>
    <n v="5"/>
    <x v="1"/>
    <x v="1"/>
    <x v="1"/>
    <s v="No"/>
    <n v="0"/>
    <n v="0"/>
    <x v="1"/>
  </r>
  <r>
    <n v="3355"/>
    <x v="123"/>
    <x v="0"/>
    <d v="2024-06-29T00:00:00"/>
    <x v="1"/>
    <n v="15"/>
    <x v="0"/>
    <x v="0"/>
    <x v="0"/>
    <s v="Yes"/>
    <n v="20"/>
    <n v="20"/>
    <x v="8"/>
  </r>
  <r>
    <n v="3356"/>
    <x v="124"/>
    <x v="2"/>
    <d v="2024-06-30T00:00:00"/>
    <x v="0"/>
    <n v="10"/>
    <x v="2"/>
    <x v="1"/>
    <x v="1"/>
    <s v="Yes"/>
    <n v="20"/>
    <n v="15"/>
    <x v="7"/>
  </r>
  <r>
    <n v="3357"/>
    <x v="125"/>
    <x v="1"/>
    <d v="2024-07-01T00:00:00"/>
    <x v="1"/>
    <n v="5"/>
    <x v="0"/>
    <x v="1"/>
    <x v="1"/>
    <s v="No"/>
    <n v="0"/>
    <n v="1"/>
    <x v="4"/>
  </r>
  <r>
    <n v="3358"/>
    <x v="126"/>
    <x v="0"/>
    <d v="2024-07-02T00:00:00"/>
    <x v="0"/>
    <n v="15"/>
    <x v="1"/>
    <x v="0"/>
    <x v="0"/>
    <s v="Yes"/>
    <n v="20"/>
    <n v="3"/>
    <x v="3"/>
  </r>
  <r>
    <n v="3359"/>
    <x v="127"/>
    <x v="2"/>
    <d v="2024-07-03T00:00:00"/>
    <x v="1"/>
    <n v="10"/>
    <x v="0"/>
    <x v="1"/>
    <x v="1"/>
    <s v="Yes"/>
    <n v="20"/>
    <n v="10"/>
    <x v="2"/>
  </r>
  <r>
    <n v="3360"/>
    <x v="128"/>
    <x v="1"/>
    <d v="2024-07-04T00:00:00"/>
    <x v="0"/>
    <n v="5"/>
    <x v="2"/>
    <x v="1"/>
    <x v="1"/>
    <s v="No"/>
    <n v="0"/>
    <n v="0"/>
    <x v="1"/>
  </r>
  <r>
    <n v="3361"/>
    <x v="129"/>
    <x v="0"/>
    <d v="2024-07-05T00:00:00"/>
    <x v="1"/>
    <n v="15"/>
    <x v="0"/>
    <x v="0"/>
    <x v="0"/>
    <s v="Yes"/>
    <n v="20"/>
    <n v="15"/>
    <x v="14"/>
  </r>
  <r>
    <n v="3362"/>
    <x v="130"/>
    <x v="2"/>
    <d v="2024-07-06T00:00:00"/>
    <x v="0"/>
    <n v="10"/>
    <x v="1"/>
    <x v="1"/>
    <x v="1"/>
    <s v="Yes"/>
    <n v="20"/>
    <n v="15"/>
    <x v="7"/>
  </r>
  <r>
    <n v="3363"/>
    <x v="131"/>
    <x v="1"/>
    <d v="2024-07-07T00:00:00"/>
    <x v="1"/>
    <n v="5"/>
    <x v="0"/>
    <x v="1"/>
    <x v="1"/>
    <s v="No"/>
    <n v="0"/>
    <n v="1"/>
    <x v="4"/>
  </r>
  <r>
    <n v="3364"/>
    <x v="132"/>
    <x v="0"/>
    <d v="2024-07-08T00:00:00"/>
    <x v="0"/>
    <n v="15"/>
    <x v="2"/>
    <x v="0"/>
    <x v="0"/>
    <s v="Yes"/>
    <n v="20"/>
    <n v="7"/>
    <x v="12"/>
  </r>
  <r>
    <n v="3365"/>
    <x v="133"/>
    <x v="2"/>
    <d v="2024-07-09T00:00:00"/>
    <x v="1"/>
    <n v="10"/>
    <x v="0"/>
    <x v="1"/>
    <x v="1"/>
    <s v="Yes"/>
    <n v="20"/>
    <n v="10"/>
    <x v="2"/>
  </r>
  <r>
    <n v="3366"/>
    <x v="134"/>
    <x v="1"/>
    <d v="2024-07-10T00:00:00"/>
    <x v="0"/>
    <n v="5"/>
    <x v="0"/>
    <x v="1"/>
    <x v="1"/>
    <s v="No"/>
    <n v="0"/>
    <n v="0"/>
    <x v="1"/>
  </r>
  <r>
    <n v="3367"/>
    <x v="135"/>
    <x v="0"/>
    <d v="2024-07-11T00:00:00"/>
    <x v="1"/>
    <n v="15"/>
    <x v="2"/>
    <x v="0"/>
    <x v="0"/>
    <s v="Yes"/>
    <n v="20"/>
    <n v="7"/>
    <x v="12"/>
  </r>
  <r>
    <n v="3368"/>
    <x v="136"/>
    <x v="2"/>
    <d v="2024-07-12T00:00:00"/>
    <x v="0"/>
    <n v="10"/>
    <x v="1"/>
    <x v="1"/>
    <x v="1"/>
    <s v="Yes"/>
    <n v="20"/>
    <n v="10"/>
    <x v="2"/>
  </r>
  <r>
    <n v="3369"/>
    <x v="137"/>
    <x v="1"/>
    <d v="2024-07-13T00:00:00"/>
    <x v="1"/>
    <n v="5"/>
    <x v="2"/>
    <x v="1"/>
    <x v="1"/>
    <s v="No"/>
    <n v="0"/>
    <n v="1"/>
    <x v="4"/>
  </r>
  <r>
    <n v="3370"/>
    <x v="138"/>
    <x v="0"/>
    <d v="2024-07-14T00:00:00"/>
    <x v="0"/>
    <n v="15"/>
    <x v="0"/>
    <x v="0"/>
    <x v="0"/>
    <s v="Yes"/>
    <n v="20"/>
    <n v="15"/>
    <x v="14"/>
  </r>
  <r>
    <n v="3371"/>
    <x v="139"/>
    <x v="2"/>
    <d v="2024-07-15T00:00:00"/>
    <x v="1"/>
    <n v="10"/>
    <x v="0"/>
    <x v="1"/>
    <x v="1"/>
    <s v="Yes"/>
    <n v="20"/>
    <n v="5"/>
    <x v="13"/>
  </r>
  <r>
    <n v="3372"/>
    <x v="140"/>
    <x v="1"/>
    <d v="2024-07-16T00:00:00"/>
    <x v="0"/>
    <n v="5"/>
    <x v="1"/>
    <x v="1"/>
    <x v="1"/>
    <s v="No"/>
    <n v="0"/>
    <n v="0"/>
    <x v="1"/>
  </r>
  <r>
    <n v="3373"/>
    <x v="141"/>
    <x v="0"/>
    <d v="2024-07-17T00:00:00"/>
    <x v="1"/>
    <n v="15"/>
    <x v="2"/>
    <x v="0"/>
    <x v="0"/>
    <s v="Yes"/>
    <n v="20"/>
    <n v="20"/>
    <x v="8"/>
  </r>
  <r>
    <n v="3374"/>
    <x v="142"/>
    <x v="2"/>
    <d v="2024-07-18T00:00:00"/>
    <x v="0"/>
    <n v="10"/>
    <x v="2"/>
    <x v="1"/>
    <x v="1"/>
    <s v="Yes"/>
    <n v="20"/>
    <n v="12"/>
    <x v="10"/>
  </r>
  <r>
    <n v="3375"/>
    <x v="143"/>
    <x v="1"/>
    <d v="2024-07-19T00:00:00"/>
    <x v="1"/>
    <n v="5"/>
    <x v="0"/>
    <x v="1"/>
    <x v="1"/>
    <s v="No"/>
    <n v="0"/>
    <n v="2"/>
    <x v="11"/>
  </r>
  <r>
    <n v="3376"/>
    <x v="144"/>
    <x v="0"/>
    <d v="2024-07-20T00:00:00"/>
    <x v="0"/>
    <n v="15"/>
    <x v="1"/>
    <x v="0"/>
    <x v="0"/>
    <s v="Yes"/>
    <n v="20"/>
    <n v="5"/>
    <x v="0"/>
  </r>
  <r>
    <n v="3377"/>
    <x v="145"/>
    <x v="2"/>
    <d v="2024-07-21T00:00:00"/>
    <x v="1"/>
    <n v="10"/>
    <x v="0"/>
    <x v="1"/>
    <x v="1"/>
    <s v="Yes"/>
    <n v="20"/>
    <n v="10"/>
    <x v="2"/>
  </r>
  <r>
    <n v="3378"/>
    <x v="146"/>
    <x v="1"/>
    <d v="2024-07-22T00:00:00"/>
    <x v="0"/>
    <n v="5"/>
    <x v="2"/>
    <x v="1"/>
    <x v="1"/>
    <s v="No"/>
    <n v="0"/>
    <n v="0"/>
    <x v="1"/>
  </r>
  <r>
    <n v="3379"/>
    <x v="147"/>
    <x v="0"/>
    <d v="2024-07-23T00:00:00"/>
    <x v="1"/>
    <n v="15"/>
    <x v="0"/>
    <x v="0"/>
    <x v="0"/>
    <s v="Yes"/>
    <n v="20"/>
    <n v="3"/>
    <x v="3"/>
  </r>
  <r>
    <n v="3380"/>
    <x v="148"/>
    <x v="2"/>
    <d v="2024-07-24T00:00:00"/>
    <x v="0"/>
    <n v="10"/>
    <x v="1"/>
    <x v="1"/>
    <x v="1"/>
    <s v="Yes"/>
    <n v="20"/>
    <n v="15"/>
    <x v="7"/>
  </r>
  <r>
    <n v="3381"/>
    <x v="149"/>
    <x v="1"/>
    <d v="2024-07-25T00:00:00"/>
    <x v="1"/>
    <n v="5"/>
    <x v="0"/>
    <x v="1"/>
    <x v="1"/>
    <s v="No"/>
    <n v="0"/>
    <n v="1"/>
    <x v="4"/>
  </r>
  <r>
    <n v="3382"/>
    <x v="150"/>
    <x v="0"/>
    <d v="2024-07-26T00:00:00"/>
    <x v="0"/>
    <n v="15"/>
    <x v="2"/>
    <x v="0"/>
    <x v="0"/>
    <s v="Yes"/>
    <n v="20"/>
    <n v="7"/>
    <x v="12"/>
  </r>
  <r>
    <n v="3383"/>
    <x v="151"/>
    <x v="2"/>
    <d v="2024-07-27T00:00:00"/>
    <x v="1"/>
    <n v="10"/>
    <x v="0"/>
    <x v="1"/>
    <x v="1"/>
    <s v="Yes"/>
    <n v="20"/>
    <n v="10"/>
    <x v="2"/>
  </r>
  <r>
    <n v="3384"/>
    <x v="152"/>
    <x v="1"/>
    <d v="2024-07-28T00:00:00"/>
    <x v="0"/>
    <n v="5"/>
    <x v="1"/>
    <x v="1"/>
    <x v="1"/>
    <s v="No"/>
    <n v="0"/>
    <n v="0"/>
    <x v="1"/>
  </r>
  <r>
    <n v="3385"/>
    <x v="153"/>
    <x v="0"/>
    <d v="2024-07-29T00:00:00"/>
    <x v="1"/>
    <n v="15"/>
    <x v="0"/>
    <x v="0"/>
    <x v="0"/>
    <s v="Yes"/>
    <n v="20"/>
    <n v="20"/>
    <x v="8"/>
  </r>
  <r>
    <n v="3386"/>
    <x v="154"/>
    <x v="2"/>
    <d v="2024-07-30T00:00:00"/>
    <x v="0"/>
    <n v="10"/>
    <x v="2"/>
    <x v="1"/>
    <x v="1"/>
    <s v="Yes"/>
    <n v="20"/>
    <n v="15"/>
    <x v="7"/>
  </r>
  <r>
    <n v="3387"/>
    <x v="155"/>
    <x v="1"/>
    <d v="2024-07-31T00:00:00"/>
    <x v="1"/>
    <n v="5"/>
    <x v="0"/>
    <x v="1"/>
    <x v="1"/>
    <s v="No"/>
    <n v="0"/>
    <n v="1"/>
    <x v="4"/>
  </r>
  <r>
    <n v="3388"/>
    <x v="156"/>
    <x v="0"/>
    <d v="2024-08-01T00:00:00"/>
    <x v="0"/>
    <n v="15"/>
    <x v="1"/>
    <x v="0"/>
    <x v="0"/>
    <s v="Yes"/>
    <n v="20"/>
    <n v="3"/>
    <x v="3"/>
  </r>
  <r>
    <n v="3389"/>
    <x v="157"/>
    <x v="2"/>
    <d v="2024-08-02T00:00:00"/>
    <x v="1"/>
    <n v="10"/>
    <x v="0"/>
    <x v="1"/>
    <x v="1"/>
    <s v="Yes"/>
    <n v="20"/>
    <n v="10"/>
    <x v="2"/>
  </r>
  <r>
    <n v="3390"/>
    <x v="158"/>
    <x v="1"/>
    <d v="2024-08-03T00:00:00"/>
    <x v="0"/>
    <n v="5"/>
    <x v="2"/>
    <x v="1"/>
    <x v="1"/>
    <s v="No"/>
    <n v="0"/>
    <n v="0"/>
    <x v="1"/>
  </r>
  <r>
    <n v="3391"/>
    <x v="58"/>
    <x v="0"/>
    <d v="2024-08-04T00:00:00"/>
    <x v="1"/>
    <n v="15"/>
    <x v="0"/>
    <x v="0"/>
    <x v="0"/>
    <s v="Yes"/>
    <n v="20"/>
    <n v="15"/>
    <x v="14"/>
  </r>
  <r>
    <n v="3392"/>
    <x v="159"/>
    <x v="2"/>
    <d v="2024-08-05T00:00:00"/>
    <x v="0"/>
    <n v="10"/>
    <x v="1"/>
    <x v="1"/>
    <x v="1"/>
    <s v="Yes"/>
    <n v="20"/>
    <n v="15"/>
    <x v="7"/>
  </r>
  <r>
    <n v="3393"/>
    <x v="160"/>
    <x v="1"/>
    <d v="2024-08-06T00:00:00"/>
    <x v="1"/>
    <n v="5"/>
    <x v="0"/>
    <x v="1"/>
    <x v="1"/>
    <s v="No"/>
    <n v="0"/>
    <n v="1"/>
    <x v="4"/>
  </r>
  <r>
    <n v="3394"/>
    <x v="161"/>
    <x v="0"/>
    <d v="2024-08-07T00:00:00"/>
    <x v="0"/>
    <n v="15"/>
    <x v="2"/>
    <x v="0"/>
    <x v="0"/>
    <s v="Yes"/>
    <n v="20"/>
    <n v="7"/>
    <x v="12"/>
  </r>
  <r>
    <n v="3395"/>
    <x v="162"/>
    <x v="2"/>
    <d v="2024-08-08T00:00:00"/>
    <x v="1"/>
    <n v="10"/>
    <x v="0"/>
    <x v="1"/>
    <x v="1"/>
    <s v="Yes"/>
    <n v="20"/>
    <n v="10"/>
    <x v="2"/>
  </r>
  <r>
    <n v="3396"/>
    <x v="163"/>
    <x v="1"/>
    <d v="2024-08-09T00:00:00"/>
    <x v="0"/>
    <n v="5"/>
    <x v="1"/>
    <x v="1"/>
    <x v="1"/>
    <s v="No"/>
    <n v="0"/>
    <n v="0"/>
    <x v="1"/>
  </r>
  <r>
    <n v="3397"/>
    <x v="90"/>
    <x v="0"/>
    <d v="2024-08-10T00:00:00"/>
    <x v="1"/>
    <n v="15"/>
    <x v="0"/>
    <x v="0"/>
    <x v="0"/>
    <s v="Yes"/>
    <n v="20"/>
    <n v="20"/>
    <x v="8"/>
  </r>
  <r>
    <n v="3398"/>
    <x v="164"/>
    <x v="2"/>
    <d v="2024-08-11T00:00:00"/>
    <x v="0"/>
    <n v="10"/>
    <x v="2"/>
    <x v="1"/>
    <x v="1"/>
    <s v="Yes"/>
    <n v="20"/>
    <n v="15"/>
    <x v="7"/>
  </r>
  <r>
    <n v="3399"/>
    <x v="165"/>
    <x v="1"/>
    <d v="2024-08-12T00:00:00"/>
    <x v="1"/>
    <n v="5"/>
    <x v="0"/>
    <x v="1"/>
    <x v="1"/>
    <s v="No"/>
    <n v="0"/>
    <n v="1"/>
    <x v="4"/>
  </r>
  <r>
    <n v="3400"/>
    <x v="166"/>
    <x v="0"/>
    <d v="2024-08-13T00:00:00"/>
    <x v="0"/>
    <n v="15"/>
    <x v="1"/>
    <x v="0"/>
    <x v="0"/>
    <s v="Yes"/>
    <n v="20"/>
    <n v="5"/>
    <x v="0"/>
  </r>
  <r>
    <n v="3401"/>
    <x v="167"/>
    <x v="2"/>
    <d v="2024-08-14T00:00:00"/>
    <x v="1"/>
    <n v="10"/>
    <x v="0"/>
    <x v="1"/>
    <x v="1"/>
    <s v="Yes"/>
    <n v="20"/>
    <n v="10"/>
    <x v="2"/>
  </r>
  <r>
    <n v="3402"/>
    <x v="168"/>
    <x v="1"/>
    <d v="2024-08-15T00:00:00"/>
    <x v="0"/>
    <n v="5"/>
    <x v="2"/>
    <x v="1"/>
    <x v="1"/>
    <s v="No"/>
    <n v="0"/>
    <n v="0"/>
    <x v="1"/>
  </r>
  <r>
    <n v="3403"/>
    <x v="169"/>
    <x v="0"/>
    <d v="2024-08-16T00:00:00"/>
    <x v="1"/>
    <n v="15"/>
    <x v="0"/>
    <x v="0"/>
    <x v="0"/>
    <s v="Yes"/>
    <n v="20"/>
    <n v="3"/>
    <x v="3"/>
  </r>
  <r>
    <n v="3404"/>
    <x v="170"/>
    <x v="2"/>
    <d v="2024-08-17T00:00:00"/>
    <x v="0"/>
    <n v="10"/>
    <x v="1"/>
    <x v="1"/>
    <x v="1"/>
    <s v="Yes"/>
    <n v="20"/>
    <n v="15"/>
    <x v="7"/>
  </r>
  <r>
    <n v="3405"/>
    <x v="171"/>
    <x v="1"/>
    <d v="2024-08-18T00:00:00"/>
    <x v="1"/>
    <n v="5"/>
    <x v="0"/>
    <x v="1"/>
    <x v="1"/>
    <s v="No"/>
    <n v="0"/>
    <n v="1"/>
    <x v="4"/>
  </r>
  <r>
    <n v="3406"/>
    <x v="172"/>
    <x v="1"/>
    <d v="2024-08-19T00:00:00"/>
    <x v="0"/>
    <n v="5"/>
    <x v="0"/>
    <x v="1"/>
    <x v="1"/>
    <s v="No"/>
    <n v="0"/>
    <n v="0"/>
    <x v="1"/>
  </r>
  <r>
    <n v="3407"/>
    <x v="173"/>
    <x v="0"/>
    <d v="2024-08-20T00:00:00"/>
    <x v="1"/>
    <n v="15"/>
    <x v="2"/>
    <x v="0"/>
    <x v="0"/>
    <s v="Yes"/>
    <n v="20"/>
    <n v="7"/>
    <x v="12"/>
  </r>
  <r>
    <n v="3408"/>
    <x v="174"/>
    <x v="2"/>
    <d v="2024-08-21T00:00:00"/>
    <x v="0"/>
    <n v="10"/>
    <x v="1"/>
    <x v="1"/>
    <x v="1"/>
    <s v="Yes"/>
    <n v="20"/>
    <n v="10"/>
    <x v="2"/>
  </r>
  <r>
    <n v="3409"/>
    <x v="175"/>
    <x v="1"/>
    <d v="2024-08-22T00:00:00"/>
    <x v="1"/>
    <n v="5"/>
    <x v="2"/>
    <x v="1"/>
    <x v="1"/>
    <s v="No"/>
    <n v="0"/>
    <n v="1"/>
    <x v="4"/>
  </r>
  <r>
    <n v="3410"/>
    <x v="176"/>
    <x v="0"/>
    <d v="2024-08-23T00:00:00"/>
    <x v="0"/>
    <n v="15"/>
    <x v="0"/>
    <x v="0"/>
    <x v="0"/>
    <s v="Yes"/>
    <n v="20"/>
    <n v="15"/>
    <x v="14"/>
  </r>
  <r>
    <n v="3411"/>
    <x v="177"/>
    <x v="2"/>
    <d v="2024-08-24T00:00:00"/>
    <x v="1"/>
    <n v="10"/>
    <x v="0"/>
    <x v="1"/>
    <x v="1"/>
    <s v="Yes"/>
    <n v="20"/>
    <n v="5"/>
    <x v="13"/>
  </r>
  <r>
    <n v="3412"/>
    <x v="178"/>
    <x v="1"/>
    <d v="2024-08-25T00:00:00"/>
    <x v="0"/>
    <n v="5"/>
    <x v="1"/>
    <x v="1"/>
    <x v="1"/>
    <s v="No"/>
    <n v="0"/>
    <n v="0"/>
    <x v="1"/>
  </r>
  <r>
    <n v="3413"/>
    <x v="179"/>
    <x v="0"/>
    <d v="2024-08-26T00:00:00"/>
    <x v="1"/>
    <n v="15"/>
    <x v="2"/>
    <x v="0"/>
    <x v="0"/>
    <s v="Yes"/>
    <n v="20"/>
    <n v="20"/>
    <x v="8"/>
  </r>
  <r>
    <n v="3414"/>
    <x v="180"/>
    <x v="2"/>
    <d v="2024-08-27T00:00:00"/>
    <x v="0"/>
    <n v="10"/>
    <x v="2"/>
    <x v="1"/>
    <x v="1"/>
    <s v="Yes"/>
    <n v="20"/>
    <n v="12"/>
    <x v="10"/>
  </r>
  <r>
    <n v="3415"/>
    <x v="181"/>
    <x v="1"/>
    <d v="2024-08-28T00:00:00"/>
    <x v="1"/>
    <n v="5"/>
    <x v="0"/>
    <x v="1"/>
    <x v="1"/>
    <s v="No"/>
    <n v="0"/>
    <n v="2"/>
    <x v="11"/>
  </r>
  <r>
    <n v="3416"/>
    <x v="182"/>
    <x v="0"/>
    <d v="2024-08-29T00:00:00"/>
    <x v="0"/>
    <n v="15"/>
    <x v="1"/>
    <x v="0"/>
    <x v="0"/>
    <s v="Yes"/>
    <n v="20"/>
    <n v="5"/>
    <x v="0"/>
  </r>
  <r>
    <n v="3417"/>
    <x v="183"/>
    <x v="2"/>
    <d v="2024-08-30T00:00:00"/>
    <x v="1"/>
    <n v="10"/>
    <x v="0"/>
    <x v="1"/>
    <x v="1"/>
    <s v="Yes"/>
    <n v="20"/>
    <n v="10"/>
    <x v="2"/>
  </r>
  <r>
    <n v="3418"/>
    <x v="184"/>
    <x v="1"/>
    <d v="2024-08-31T00:00:00"/>
    <x v="0"/>
    <n v="5"/>
    <x v="2"/>
    <x v="1"/>
    <x v="1"/>
    <s v="No"/>
    <n v="0"/>
    <n v="0"/>
    <x v="1"/>
  </r>
  <r>
    <n v="3419"/>
    <x v="185"/>
    <x v="0"/>
    <d v="2024-09-01T00:00:00"/>
    <x v="1"/>
    <n v="15"/>
    <x v="0"/>
    <x v="0"/>
    <x v="0"/>
    <s v="Yes"/>
    <n v="20"/>
    <n v="3"/>
    <x v="3"/>
  </r>
  <r>
    <n v="3420"/>
    <x v="186"/>
    <x v="2"/>
    <d v="2024-09-02T00:00:00"/>
    <x v="0"/>
    <n v="10"/>
    <x v="1"/>
    <x v="1"/>
    <x v="1"/>
    <s v="Yes"/>
    <n v="20"/>
    <n v="15"/>
    <x v="7"/>
  </r>
  <r>
    <n v="3421"/>
    <x v="15"/>
    <x v="1"/>
    <d v="2024-09-03T00:00:00"/>
    <x v="1"/>
    <n v="5"/>
    <x v="0"/>
    <x v="1"/>
    <x v="1"/>
    <s v="No"/>
    <n v="0"/>
    <n v="1"/>
    <x v="4"/>
  </r>
  <r>
    <n v="3422"/>
    <x v="187"/>
    <x v="0"/>
    <d v="2024-09-04T00:00:00"/>
    <x v="0"/>
    <n v="15"/>
    <x v="2"/>
    <x v="0"/>
    <x v="0"/>
    <s v="Yes"/>
    <n v="20"/>
    <n v="7"/>
    <x v="12"/>
  </r>
  <r>
    <n v="3423"/>
    <x v="188"/>
    <x v="2"/>
    <d v="2024-09-05T00:00:00"/>
    <x v="1"/>
    <n v="10"/>
    <x v="0"/>
    <x v="1"/>
    <x v="1"/>
    <s v="Yes"/>
    <n v="20"/>
    <n v="10"/>
    <x v="2"/>
  </r>
  <r>
    <n v="3424"/>
    <x v="14"/>
    <x v="1"/>
    <d v="2024-09-06T00:00:00"/>
    <x v="0"/>
    <n v="5"/>
    <x v="1"/>
    <x v="1"/>
    <x v="1"/>
    <s v="No"/>
    <n v="0"/>
    <n v="0"/>
    <x v="1"/>
  </r>
  <r>
    <n v="3425"/>
    <x v="189"/>
    <x v="0"/>
    <d v="2024-09-07T00:00:00"/>
    <x v="1"/>
    <n v="15"/>
    <x v="0"/>
    <x v="0"/>
    <x v="0"/>
    <s v="Yes"/>
    <n v="20"/>
    <n v="20"/>
    <x v="8"/>
  </r>
  <r>
    <n v="3426"/>
    <x v="167"/>
    <x v="2"/>
    <d v="2024-09-08T00:00:00"/>
    <x v="0"/>
    <n v="10"/>
    <x v="2"/>
    <x v="1"/>
    <x v="1"/>
    <s v="Yes"/>
    <n v="20"/>
    <n v="15"/>
    <x v="7"/>
  </r>
  <r>
    <n v="3427"/>
    <x v="190"/>
    <x v="1"/>
    <d v="2024-09-09T00:00:00"/>
    <x v="1"/>
    <n v="5"/>
    <x v="0"/>
    <x v="1"/>
    <x v="1"/>
    <s v="No"/>
    <n v="0"/>
    <n v="1"/>
    <x v="4"/>
  </r>
  <r>
    <n v="3428"/>
    <x v="191"/>
    <x v="0"/>
    <d v="2024-09-10T00:00:00"/>
    <x v="0"/>
    <n v="15"/>
    <x v="1"/>
    <x v="0"/>
    <x v="0"/>
    <s v="Yes"/>
    <n v="20"/>
    <n v="3"/>
    <x v="3"/>
  </r>
  <r>
    <n v="3429"/>
    <x v="192"/>
    <x v="2"/>
    <d v="2024-09-11T00:00:00"/>
    <x v="1"/>
    <n v="10"/>
    <x v="0"/>
    <x v="1"/>
    <x v="1"/>
    <s v="Yes"/>
    <n v="20"/>
    <n v="10"/>
    <x v="2"/>
  </r>
  <r>
    <n v="3430"/>
    <x v="193"/>
    <x v="1"/>
    <d v="2024-09-12T00:00:00"/>
    <x v="0"/>
    <n v="5"/>
    <x v="2"/>
    <x v="1"/>
    <x v="1"/>
    <s v="No"/>
    <n v="0"/>
    <n v="0"/>
    <x v="1"/>
  </r>
  <r>
    <n v="3431"/>
    <x v="194"/>
    <x v="0"/>
    <d v="2024-09-13T00:00:00"/>
    <x v="1"/>
    <n v="15"/>
    <x v="0"/>
    <x v="0"/>
    <x v="0"/>
    <s v="Yes"/>
    <n v="20"/>
    <n v="15"/>
    <x v="14"/>
  </r>
  <r>
    <n v="3432"/>
    <x v="195"/>
    <x v="2"/>
    <d v="2024-09-14T00:00:00"/>
    <x v="0"/>
    <n v="10"/>
    <x v="1"/>
    <x v="1"/>
    <x v="1"/>
    <s v="Yes"/>
    <n v="20"/>
    <n v="15"/>
    <x v="7"/>
  </r>
  <r>
    <n v="3433"/>
    <x v="196"/>
    <x v="1"/>
    <d v="2024-09-15T00:00:00"/>
    <x v="1"/>
    <n v="5"/>
    <x v="0"/>
    <x v="1"/>
    <x v="1"/>
    <s v="No"/>
    <n v="0"/>
    <n v="1"/>
    <x v="4"/>
  </r>
  <r>
    <n v="3434"/>
    <x v="197"/>
    <x v="0"/>
    <d v="2024-09-16T00:00:00"/>
    <x v="0"/>
    <n v="15"/>
    <x v="2"/>
    <x v="0"/>
    <x v="0"/>
    <s v="Yes"/>
    <n v="20"/>
    <n v="7"/>
    <x v="12"/>
  </r>
  <r>
    <n v="3435"/>
    <x v="198"/>
    <x v="2"/>
    <d v="2024-09-17T00:00:00"/>
    <x v="1"/>
    <n v="10"/>
    <x v="0"/>
    <x v="1"/>
    <x v="1"/>
    <s v="Yes"/>
    <n v="20"/>
    <n v="10"/>
    <x v="2"/>
  </r>
  <r>
    <n v="3436"/>
    <x v="199"/>
    <x v="1"/>
    <d v="2024-09-18T00:00:00"/>
    <x v="0"/>
    <n v="5"/>
    <x v="0"/>
    <x v="1"/>
    <x v="1"/>
    <s v="No"/>
    <n v="0"/>
    <n v="0"/>
    <x v="1"/>
  </r>
  <r>
    <n v="3437"/>
    <x v="200"/>
    <x v="0"/>
    <d v="2024-09-19T00:00:00"/>
    <x v="1"/>
    <n v="15"/>
    <x v="2"/>
    <x v="0"/>
    <x v="0"/>
    <s v="Yes"/>
    <n v="20"/>
    <n v="7"/>
    <x v="12"/>
  </r>
  <r>
    <n v="3438"/>
    <x v="201"/>
    <x v="2"/>
    <d v="2024-09-20T00:00:00"/>
    <x v="0"/>
    <n v="10"/>
    <x v="1"/>
    <x v="1"/>
    <x v="1"/>
    <s v="Yes"/>
    <n v="20"/>
    <n v="10"/>
    <x v="2"/>
  </r>
  <r>
    <n v="3439"/>
    <x v="202"/>
    <x v="1"/>
    <d v="2024-09-21T00:00:00"/>
    <x v="1"/>
    <n v="5"/>
    <x v="2"/>
    <x v="1"/>
    <x v="1"/>
    <s v="No"/>
    <n v="0"/>
    <n v="1"/>
    <x v="4"/>
  </r>
  <r>
    <n v="3440"/>
    <x v="203"/>
    <x v="0"/>
    <d v="2024-09-22T00:00:00"/>
    <x v="0"/>
    <n v="15"/>
    <x v="0"/>
    <x v="0"/>
    <x v="0"/>
    <s v="Yes"/>
    <n v="20"/>
    <n v="15"/>
    <x v="14"/>
  </r>
  <r>
    <n v="3441"/>
    <x v="204"/>
    <x v="2"/>
    <d v="2024-09-23T00:00:00"/>
    <x v="1"/>
    <n v="10"/>
    <x v="0"/>
    <x v="1"/>
    <x v="1"/>
    <s v="Yes"/>
    <n v="20"/>
    <n v="5"/>
    <x v="13"/>
  </r>
  <r>
    <n v="3442"/>
    <x v="205"/>
    <x v="1"/>
    <d v="2024-09-24T00:00:00"/>
    <x v="0"/>
    <n v="5"/>
    <x v="1"/>
    <x v="1"/>
    <x v="1"/>
    <s v="No"/>
    <n v="0"/>
    <n v="0"/>
    <x v="1"/>
  </r>
  <r>
    <n v="3443"/>
    <x v="206"/>
    <x v="0"/>
    <d v="2024-09-25T00:00:00"/>
    <x v="1"/>
    <n v="15"/>
    <x v="2"/>
    <x v="0"/>
    <x v="0"/>
    <s v="Yes"/>
    <n v="20"/>
    <n v="20"/>
    <x v="8"/>
  </r>
  <r>
    <n v="3444"/>
    <x v="207"/>
    <x v="2"/>
    <d v="2024-09-26T00:00:00"/>
    <x v="0"/>
    <n v="10"/>
    <x v="2"/>
    <x v="1"/>
    <x v="1"/>
    <s v="Yes"/>
    <n v="20"/>
    <n v="12"/>
    <x v="10"/>
  </r>
  <r>
    <n v="3445"/>
    <x v="37"/>
    <x v="1"/>
    <d v="2024-09-27T00:00:00"/>
    <x v="1"/>
    <n v="5"/>
    <x v="0"/>
    <x v="1"/>
    <x v="1"/>
    <s v="No"/>
    <n v="0"/>
    <n v="2"/>
    <x v="11"/>
  </r>
  <r>
    <n v="3446"/>
    <x v="208"/>
    <x v="0"/>
    <d v="2024-09-28T00:00:00"/>
    <x v="0"/>
    <n v="15"/>
    <x v="1"/>
    <x v="0"/>
    <x v="0"/>
    <s v="Yes"/>
    <n v="20"/>
    <n v="5"/>
    <x v="0"/>
  </r>
  <r>
    <n v="3447"/>
    <x v="209"/>
    <x v="2"/>
    <d v="2024-09-29T00:00:00"/>
    <x v="1"/>
    <n v="10"/>
    <x v="0"/>
    <x v="1"/>
    <x v="1"/>
    <s v="Yes"/>
    <n v="20"/>
    <n v="10"/>
    <x v="2"/>
  </r>
  <r>
    <n v="3448"/>
    <x v="210"/>
    <x v="1"/>
    <d v="2024-09-30T00:00:00"/>
    <x v="0"/>
    <n v="5"/>
    <x v="2"/>
    <x v="1"/>
    <x v="1"/>
    <s v="No"/>
    <n v="0"/>
    <n v="0"/>
    <x v="1"/>
  </r>
  <r>
    <n v="3449"/>
    <x v="211"/>
    <x v="0"/>
    <d v="2024-10-01T00:00:00"/>
    <x v="1"/>
    <n v="15"/>
    <x v="0"/>
    <x v="0"/>
    <x v="0"/>
    <s v="Yes"/>
    <n v="20"/>
    <n v="3"/>
    <x v="3"/>
  </r>
  <r>
    <n v="3450"/>
    <x v="212"/>
    <x v="2"/>
    <d v="2024-10-02T00:00:00"/>
    <x v="0"/>
    <n v="10"/>
    <x v="1"/>
    <x v="1"/>
    <x v="1"/>
    <s v="Yes"/>
    <n v="20"/>
    <n v="15"/>
    <x v="7"/>
  </r>
  <r>
    <n v="3451"/>
    <x v="213"/>
    <x v="1"/>
    <d v="2024-10-03T00:00:00"/>
    <x v="1"/>
    <n v="5"/>
    <x v="0"/>
    <x v="1"/>
    <x v="1"/>
    <s v="No"/>
    <n v="0"/>
    <n v="1"/>
    <x v="4"/>
  </r>
  <r>
    <n v="3452"/>
    <x v="191"/>
    <x v="0"/>
    <d v="2024-10-04T00:00:00"/>
    <x v="0"/>
    <n v="15"/>
    <x v="2"/>
    <x v="0"/>
    <x v="0"/>
    <s v="Yes"/>
    <n v="20"/>
    <n v="7"/>
    <x v="12"/>
  </r>
  <r>
    <n v="3453"/>
    <x v="45"/>
    <x v="2"/>
    <d v="2024-10-05T00:00:00"/>
    <x v="1"/>
    <n v="10"/>
    <x v="0"/>
    <x v="1"/>
    <x v="1"/>
    <s v="Yes"/>
    <n v="20"/>
    <n v="10"/>
    <x v="2"/>
  </r>
  <r>
    <n v="3454"/>
    <x v="214"/>
    <x v="1"/>
    <d v="2024-10-06T00:00:00"/>
    <x v="0"/>
    <n v="5"/>
    <x v="1"/>
    <x v="1"/>
    <x v="1"/>
    <s v="No"/>
    <n v="0"/>
    <n v="0"/>
    <x v="1"/>
  </r>
  <r>
    <n v="3455"/>
    <x v="215"/>
    <x v="0"/>
    <d v="2024-10-07T00:00:00"/>
    <x v="1"/>
    <n v="15"/>
    <x v="0"/>
    <x v="0"/>
    <x v="0"/>
    <s v="Yes"/>
    <n v="20"/>
    <n v="20"/>
    <x v="8"/>
  </r>
  <r>
    <n v="3456"/>
    <x v="216"/>
    <x v="2"/>
    <d v="2024-10-08T00:00:00"/>
    <x v="0"/>
    <n v="10"/>
    <x v="2"/>
    <x v="1"/>
    <x v="1"/>
    <s v="Yes"/>
    <n v="20"/>
    <n v="15"/>
    <x v="7"/>
  </r>
  <r>
    <n v="3457"/>
    <x v="217"/>
    <x v="1"/>
    <d v="2024-10-09T00:00:00"/>
    <x v="1"/>
    <n v="5"/>
    <x v="0"/>
    <x v="1"/>
    <x v="1"/>
    <s v="No"/>
    <n v="0"/>
    <n v="1"/>
    <x v="4"/>
  </r>
  <r>
    <n v="3458"/>
    <x v="218"/>
    <x v="0"/>
    <d v="2024-10-10T00:00:00"/>
    <x v="0"/>
    <n v="15"/>
    <x v="1"/>
    <x v="0"/>
    <x v="0"/>
    <s v="Yes"/>
    <n v="20"/>
    <n v="3"/>
    <x v="3"/>
  </r>
  <r>
    <n v="3459"/>
    <x v="219"/>
    <x v="2"/>
    <d v="2024-10-11T00:00:00"/>
    <x v="1"/>
    <n v="10"/>
    <x v="0"/>
    <x v="1"/>
    <x v="1"/>
    <s v="Yes"/>
    <n v="20"/>
    <n v="10"/>
    <x v="2"/>
  </r>
  <r>
    <n v="3460"/>
    <x v="127"/>
    <x v="1"/>
    <d v="2024-10-12T00:00:00"/>
    <x v="0"/>
    <n v="5"/>
    <x v="2"/>
    <x v="1"/>
    <x v="1"/>
    <s v="No"/>
    <n v="0"/>
    <n v="0"/>
    <x v="1"/>
  </r>
  <r>
    <n v="3461"/>
    <x v="220"/>
    <x v="0"/>
    <d v="2024-10-13T00:00:00"/>
    <x v="1"/>
    <n v="15"/>
    <x v="0"/>
    <x v="0"/>
    <x v="0"/>
    <s v="Yes"/>
    <n v="20"/>
    <n v="15"/>
    <x v="14"/>
  </r>
  <r>
    <n v="3462"/>
    <x v="221"/>
    <x v="2"/>
    <d v="2024-10-14T00:00:00"/>
    <x v="0"/>
    <n v="10"/>
    <x v="1"/>
    <x v="1"/>
    <x v="1"/>
    <s v="Yes"/>
    <n v="20"/>
    <n v="15"/>
    <x v="7"/>
  </r>
  <r>
    <n v="3463"/>
    <x v="222"/>
    <x v="1"/>
    <d v="2024-10-15T00:00:00"/>
    <x v="1"/>
    <n v="5"/>
    <x v="0"/>
    <x v="1"/>
    <x v="1"/>
    <s v="No"/>
    <n v="0"/>
    <n v="1"/>
    <x v="4"/>
  </r>
  <r>
    <n v="3464"/>
    <x v="223"/>
    <x v="0"/>
    <d v="2024-10-16T00:00:00"/>
    <x v="0"/>
    <n v="15"/>
    <x v="2"/>
    <x v="0"/>
    <x v="0"/>
    <s v="Yes"/>
    <n v="20"/>
    <n v="7"/>
    <x v="12"/>
  </r>
  <r>
    <n v="3465"/>
    <x v="224"/>
    <x v="2"/>
    <d v="2024-10-17T00:00:00"/>
    <x v="1"/>
    <n v="10"/>
    <x v="0"/>
    <x v="1"/>
    <x v="1"/>
    <s v="Yes"/>
    <n v="20"/>
    <n v="10"/>
    <x v="2"/>
  </r>
  <r>
    <n v="3466"/>
    <x v="225"/>
    <x v="1"/>
    <d v="2024-10-18T00:00:00"/>
    <x v="0"/>
    <n v="5"/>
    <x v="1"/>
    <x v="1"/>
    <x v="1"/>
    <s v="No"/>
    <n v="0"/>
    <n v="0"/>
    <x v="1"/>
  </r>
  <r>
    <n v="3467"/>
    <x v="226"/>
    <x v="0"/>
    <d v="2024-10-19T00:00:00"/>
    <x v="1"/>
    <n v="15"/>
    <x v="0"/>
    <x v="0"/>
    <x v="0"/>
    <s v="Yes"/>
    <n v="20"/>
    <n v="15"/>
    <x v="14"/>
  </r>
  <r>
    <n v="3468"/>
    <x v="227"/>
    <x v="2"/>
    <d v="2024-10-20T00:00:00"/>
    <x v="0"/>
    <n v="10"/>
    <x v="2"/>
    <x v="1"/>
    <x v="1"/>
    <s v="Yes"/>
    <n v="20"/>
    <n v="12"/>
    <x v="10"/>
  </r>
  <r>
    <n v="3469"/>
    <x v="228"/>
    <x v="1"/>
    <d v="2024-10-21T00:00:00"/>
    <x v="1"/>
    <n v="5"/>
    <x v="0"/>
    <x v="1"/>
    <x v="1"/>
    <s v="No"/>
    <n v="0"/>
    <n v="2"/>
    <x v="11"/>
  </r>
  <r>
    <n v="3470"/>
    <x v="229"/>
    <x v="0"/>
    <d v="2024-10-22T00:00:00"/>
    <x v="0"/>
    <n v="15"/>
    <x v="1"/>
    <x v="0"/>
    <x v="0"/>
    <s v="Yes"/>
    <n v="20"/>
    <n v="5"/>
    <x v="0"/>
  </r>
  <r>
    <n v="3471"/>
    <x v="230"/>
    <x v="2"/>
    <d v="2024-10-23T00:00:00"/>
    <x v="1"/>
    <n v="10"/>
    <x v="0"/>
    <x v="1"/>
    <x v="1"/>
    <s v="Yes"/>
    <n v="20"/>
    <n v="10"/>
    <x v="2"/>
  </r>
  <r>
    <n v="3472"/>
    <x v="231"/>
    <x v="1"/>
    <d v="2024-10-24T00:00:00"/>
    <x v="0"/>
    <n v="5"/>
    <x v="2"/>
    <x v="1"/>
    <x v="1"/>
    <s v="No"/>
    <n v="0"/>
    <n v="0"/>
    <x v="1"/>
  </r>
  <r>
    <n v="3473"/>
    <x v="140"/>
    <x v="0"/>
    <d v="2024-10-25T00:00:00"/>
    <x v="1"/>
    <n v="15"/>
    <x v="0"/>
    <x v="0"/>
    <x v="0"/>
    <s v="Yes"/>
    <n v="20"/>
    <n v="3"/>
    <x v="3"/>
  </r>
  <r>
    <n v="3474"/>
    <x v="232"/>
    <x v="2"/>
    <d v="2024-10-26T00:00:00"/>
    <x v="0"/>
    <n v="10"/>
    <x v="1"/>
    <x v="1"/>
    <x v="1"/>
    <s v="Yes"/>
    <n v="20"/>
    <n v="15"/>
    <x v="7"/>
  </r>
  <r>
    <n v="3475"/>
    <x v="233"/>
    <x v="1"/>
    <d v="2024-10-27T00:00:00"/>
    <x v="1"/>
    <n v="5"/>
    <x v="0"/>
    <x v="1"/>
    <x v="1"/>
    <s v="No"/>
    <n v="0"/>
    <n v="1"/>
    <x v="4"/>
  </r>
  <r>
    <n v="3476"/>
    <x v="234"/>
    <x v="0"/>
    <d v="2024-10-28T00:00:00"/>
    <x v="0"/>
    <n v="15"/>
    <x v="2"/>
    <x v="0"/>
    <x v="0"/>
    <s v="Yes"/>
    <n v="20"/>
    <n v="7"/>
    <x v="12"/>
  </r>
  <r>
    <n v="3477"/>
    <x v="235"/>
    <x v="2"/>
    <d v="2024-10-29T00:00:00"/>
    <x v="1"/>
    <n v="10"/>
    <x v="0"/>
    <x v="1"/>
    <x v="1"/>
    <s v="Yes"/>
    <n v="20"/>
    <n v="10"/>
    <x v="2"/>
  </r>
  <r>
    <n v="3478"/>
    <x v="236"/>
    <x v="1"/>
    <d v="2024-10-30T00:00:00"/>
    <x v="0"/>
    <n v="5"/>
    <x v="1"/>
    <x v="1"/>
    <x v="1"/>
    <s v="No"/>
    <n v="0"/>
    <n v="0"/>
    <x v="1"/>
  </r>
  <r>
    <n v="3479"/>
    <x v="237"/>
    <x v="0"/>
    <d v="2024-10-31T00:00:00"/>
    <x v="1"/>
    <n v="15"/>
    <x v="0"/>
    <x v="0"/>
    <x v="0"/>
    <s v="Yes"/>
    <n v="20"/>
    <n v="20"/>
    <x v="8"/>
  </r>
  <r>
    <n v="3480"/>
    <x v="238"/>
    <x v="2"/>
    <d v="2024-11-01T00:00:00"/>
    <x v="0"/>
    <n v="10"/>
    <x v="2"/>
    <x v="1"/>
    <x v="1"/>
    <s v="Yes"/>
    <n v="20"/>
    <n v="15"/>
    <x v="7"/>
  </r>
  <r>
    <n v="3481"/>
    <x v="239"/>
    <x v="1"/>
    <d v="2024-11-02T00:00:00"/>
    <x v="1"/>
    <n v="5"/>
    <x v="0"/>
    <x v="1"/>
    <x v="1"/>
    <s v="No"/>
    <n v="0"/>
    <n v="1"/>
    <x v="4"/>
  </r>
  <r>
    <n v="3482"/>
    <x v="240"/>
    <x v="0"/>
    <d v="2024-11-03T00:00:00"/>
    <x v="0"/>
    <n v="15"/>
    <x v="1"/>
    <x v="0"/>
    <x v="0"/>
    <s v="Yes"/>
    <n v="20"/>
    <n v="3"/>
    <x v="3"/>
  </r>
  <r>
    <n v="3483"/>
    <x v="241"/>
    <x v="2"/>
    <d v="2024-11-04T00:00:00"/>
    <x v="1"/>
    <n v="10"/>
    <x v="0"/>
    <x v="1"/>
    <x v="1"/>
    <s v="Yes"/>
    <n v="20"/>
    <n v="10"/>
    <x v="2"/>
  </r>
  <r>
    <n v="3484"/>
    <x v="242"/>
    <x v="1"/>
    <d v="2024-11-05T00:00:00"/>
    <x v="0"/>
    <n v="5"/>
    <x v="2"/>
    <x v="1"/>
    <x v="1"/>
    <s v="No"/>
    <n v="0"/>
    <n v="0"/>
    <x v="1"/>
  </r>
  <r>
    <n v="3485"/>
    <x v="243"/>
    <x v="0"/>
    <d v="2024-11-06T00:00:00"/>
    <x v="1"/>
    <n v="15"/>
    <x v="0"/>
    <x v="0"/>
    <x v="0"/>
    <s v="Yes"/>
    <n v="20"/>
    <n v="15"/>
    <x v="14"/>
  </r>
  <r>
    <n v="3486"/>
    <x v="244"/>
    <x v="1"/>
    <d v="2024-11-07T00:00:00"/>
    <x v="0"/>
    <n v="5"/>
    <x v="0"/>
    <x v="1"/>
    <x v="1"/>
    <s v="No"/>
    <n v="0"/>
    <n v="0"/>
    <x v="1"/>
  </r>
  <r>
    <n v="3487"/>
    <x v="245"/>
    <x v="0"/>
    <d v="2024-11-08T00:00:00"/>
    <x v="1"/>
    <n v="15"/>
    <x v="2"/>
    <x v="0"/>
    <x v="0"/>
    <s v="Yes"/>
    <n v="20"/>
    <n v="7"/>
    <x v="12"/>
  </r>
  <r>
    <n v="3488"/>
    <x v="246"/>
    <x v="2"/>
    <d v="2024-11-09T00:00:00"/>
    <x v="0"/>
    <n v="10"/>
    <x v="1"/>
    <x v="1"/>
    <x v="1"/>
    <s v="Yes"/>
    <n v="20"/>
    <n v="10"/>
    <x v="2"/>
  </r>
  <r>
    <n v="3489"/>
    <x v="247"/>
    <x v="1"/>
    <d v="2024-11-10T00:00:00"/>
    <x v="1"/>
    <n v="5"/>
    <x v="2"/>
    <x v="1"/>
    <x v="1"/>
    <s v="No"/>
    <n v="0"/>
    <n v="1"/>
    <x v="4"/>
  </r>
  <r>
    <n v="3490"/>
    <x v="248"/>
    <x v="0"/>
    <d v="2024-11-11T00:00:00"/>
    <x v="0"/>
    <n v="15"/>
    <x v="0"/>
    <x v="0"/>
    <x v="0"/>
    <s v="Yes"/>
    <n v="20"/>
    <n v="15"/>
    <x v="14"/>
  </r>
  <r>
    <n v="3491"/>
    <x v="249"/>
    <x v="2"/>
    <d v="2024-11-12T00:00:00"/>
    <x v="1"/>
    <n v="10"/>
    <x v="0"/>
    <x v="1"/>
    <x v="1"/>
    <s v="Yes"/>
    <n v="20"/>
    <n v="5"/>
    <x v="13"/>
  </r>
  <r>
    <n v="3492"/>
    <x v="250"/>
    <x v="1"/>
    <d v="2024-11-13T00:00:00"/>
    <x v="0"/>
    <n v="5"/>
    <x v="1"/>
    <x v="1"/>
    <x v="1"/>
    <s v="No"/>
    <n v="0"/>
    <n v="0"/>
    <x v="1"/>
  </r>
  <r>
    <n v="3493"/>
    <x v="251"/>
    <x v="0"/>
    <d v="2024-11-14T00:00:00"/>
    <x v="1"/>
    <n v="15"/>
    <x v="2"/>
    <x v="0"/>
    <x v="0"/>
    <s v="Yes"/>
    <n v="20"/>
    <n v="20"/>
    <x v="8"/>
  </r>
  <r>
    <n v="3494"/>
    <x v="252"/>
    <x v="2"/>
    <d v="2024-11-15T00:00:00"/>
    <x v="0"/>
    <n v="10"/>
    <x v="2"/>
    <x v="1"/>
    <x v="1"/>
    <s v="Yes"/>
    <n v="20"/>
    <n v="12"/>
    <x v="10"/>
  </r>
  <r>
    <n v="3495"/>
    <x v="253"/>
    <x v="1"/>
    <d v="2024-11-16T00:00:00"/>
    <x v="1"/>
    <n v="5"/>
    <x v="0"/>
    <x v="1"/>
    <x v="1"/>
    <s v="No"/>
    <n v="0"/>
    <n v="2"/>
    <x v="11"/>
  </r>
  <r>
    <n v="3496"/>
    <x v="254"/>
    <x v="0"/>
    <d v="2024-11-17T00:00:00"/>
    <x v="0"/>
    <n v="15"/>
    <x v="1"/>
    <x v="0"/>
    <x v="0"/>
    <s v="Yes"/>
    <n v="20"/>
    <n v="5"/>
    <x v="0"/>
  </r>
  <r>
    <n v="3497"/>
    <x v="255"/>
    <x v="2"/>
    <d v="2024-11-18T00:00:00"/>
    <x v="1"/>
    <n v="10"/>
    <x v="0"/>
    <x v="1"/>
    <x v="1"/>
    <s v="Yes"/>
    <n v="20"/>
    <n v="10"/>
    <x v="2"/>
  </r>
  <r>
    <n v="3498"/>
    <x v="256"/>
    <x v="1"/>
    <d v="2024-11-19T00:00:00"/>
    <x v="0"/>
    <n v="5"/>
    <x v="2"/>
    <x v="1"/>
    <x v="1"/>
    <s v="No"/>
    <n v="0"/>
    <n v="0"/>
    <x v="1"/>
  </r>
  <r>
    <n v="3499"/>
    <x v="257"/>
    <x v="0"/>
    <d v="2024-11-20T00:00:00"/>
    <x v="1"/>
    <n v="15"/>
    <x v="0"/>
    <x v="0"/>
    <x v="0"/>
    <s v="Yes"/>
    <n v="20"/>
    <n v="3"/>
    <x v="3"/>
  </r>
  <r>
    <n v="3500"/>
    <x v="258"/>
    <x v="2"/>
    <d v="2024-11-21T00:00:00"/>
    <x v="0"/>
    <n v="10"/>
    <x v="1"/>
    <x v="1"/>
    <x v="1"/>
    <s v="Yes"/>
    <n v="20"/>
    <n v="15"/>
    <x v="7"/>
  </r>
  <r>
    <n v="3501"/>
    <x v="259"/>
    <x v="1"/>
    <d v="2024-11-22T00:00:00"/>
    <x v="1"/>
    <n v="5"/>
    <x v="0"/>
    <x v="1"/>
    <x v="1"/>
    <s v="No"/>
    <n v="0"/>
    <n v="1"/>
    <x v="4"/>
  </r>
  <r>
    <n v="3502"/>
    <x v="260"/>
    <x v="0"/>
    <d v="2024-11-23T00:00:00"/>
    <x v="0"/>
    <n v="15"/>
    <x v="2"/>
    <x v="0"/>
    <x v="0"/>
    <s v="Yes"/>
    <n v="20"/>
    <n v="7"/>
    <x v="12"/>
  </r>
  <r>
    <n v="3503"/>
    <x v="119"/>
    <x v="2"/>
    <d v="2024-11-24T00:00:00"/>
    <x v="1"/>
    <n v="10"/>
    <x v="0"/>
    <x v="1"/>
    <x v="1"/>
    <s v="Yes"/>
    <n v="20"/>
    <n v="10"/>
    <x v="2"/>
  </r>
  <r>
    <n v="3504"/>
    <x v="261"/>
    <x v="1"/>
    <d v="2024-11-25T00:00:00"/>
    <x v="0"/>
    <n v="5"/>
    <x v="1"/>
    <x v="1"/>
    <x v="1"/>
    <s v="No"/>
    <n v="0"/>
    <n v="0"/>
    <x v="1"/>
  </r>
  <r>
    <n v="3505"/>
    <x v="262"/>
    <x v="0"/>
    <d v="2024-11-26T00:00:00"/>
    <x v="1"/>
    <n v="15"/>
    <x v="0"/>
    <x v="0"/>
    <x v="0"/>
    <s v="Yes"/>
    <n v="20"/>
    <n v="20"/>
    <x v="8"/>
  </r>
  <r>
    <n v="3506"/>
    <x v="263"/>
    <x v="2"/>
    <d v="2024-11-27T00:00:00"/>
    <x v="0"/>
    <n v="10"/>
    <x v="2"/>
    <x v="1"/>
    <x v="1"/>
    <s v="Yes"/>
    <n v="20"/>
    <n v="15"/>
    <x v="7"/>
  </r>
  <r>
    <n v="3507"/>
    <x v="264"/>
    <x v="1"/>
    <d v="2024-11-28T00:00:00"/>
    <x v="1"/>
    <n v="5"/>
    <x v="0"/>
    <x v="1"/>
    <x v="1"/>
    <s v="No"/>
    <n v="0"/>
    <n v="1"/>
    <x v="4"/>
  </r>
  <r>
    <n v="3508"/>
    <x v="265"/>
    <x v="0"/>
    <d v="2024-11-29T00:00:00"/>
    <x v="0"/>
    <n v="15"/>
    <x v="1"/>
    <x v="0"/>
    <x v="0"/>
    <s v="Yes"/>
    <n v="20"/>
    <n v="3"/>
    <x v="3"/>
  </r>
  <r>
    <n v="3509"/>
    <x v="266"/>
    <x v="2"/>
    <d v="2024-11-30T00:00:00"/>
    <x v="1"/>
    <n v="10"/>
    <x v="0"/>
    <x v="1"/>
    <x v="1"/>
    <s v="Yes"/>
    <n v="20"/>
    <n v="10"/>
    <x v="2"/>
  </r>
  <r>
    <n v="3510"/>
    <x v="267"/>
    <x v="1"/>
    <d v="2024-12-01T00:00:00"/>
    <x v="0"/>
    <n v="5"/>
    <x v="2"/>
    <x v="1"/>
    <x v="1"/>
    <s v="No"/>
    <n v="0"/>
    <n v="0"/>
    <x v="1"/>
  </r>
  <r>
    <n v="3511"/>
    <x v="268"/>
    <x v="0"/>
    <d v="2024-12-02T00:00:00"/>
    <x v="1"/>
    <n v="15"/>
    <x v="0"/>
    <x v="0"/>
    <x v="0"/>
    <s v="Yes"/>
    <n v="20"/>
    <n v="15"/>
    <x v="14"/>
  </r>
  <r>
    <n v="3512"/>
    <x v="269"/>
    <x v="2"/>
    <d v="2024-12-03T00:00:00"/>
    <x v="0"/>
    <n v="10"/>
    <x v="1"/>
    <x v="1"/>
    <x v="1"/>
    <s v="Yes"/>
    <n v="20"/>
    <n v="15"/>
    <x v="7"/>
  </r>
  <r>
    <n v="3513"/>
    <x v="270"/>
    <x v="1"/>
    <d v="2024-12-04T00:00:00"/>
    <x v="1"/>
    <n v="5"/>
    <x v="0"/>
    <x v="1"/>
    <x v="1"/>
    <s v="No"/>
    <n v="0"/>
    <n v="1"/>
    <x v="4"/>
  </r>
  <r>
    <n v="3514"/>
    <x v="271"/>
    <x v="0"/>
    <d v="2024-12-05T00:00:00"/>
    <x v="0"/>
    <n v="15"/>
    <x v="2"/>
    <x v="0"/>
    <x v="0"/>
    <s v="Yes"/>
    <n v="20"/>
    <n v="7"/>
    <x v="12"/>
  </r>
  <r>
    <n v="3515"/>
    <x v="130"/>
    <x v="2"/>
    <d v="2024-12-06T00:00:00"/>
    <x v="1"/>
    <n v="10"/>
    <x v="0"/>
    <x v="1"/>
    <x v="1"/>
    <s v="Yes"/>
    <n v="20"/>
    <n v="10"/>
    <x v="2"/>
  </r>
  <r>
    <n v="3516"/>
    <x v="131"/>
    <x v="1"/>
    <d v="2024-12-07T00:00:00"/>
    <x v="0"/>
    <n v="5"/>
    <x v="1"/>
    <x v="1"/>
    <x v="1"/>
    <s v="No"/>
    <n v="0"/>
    <n v="0"/>
    <x v="1"/>
  </r>
  <r>
    <n v="3517"/>
    <x v="181"/>
    <x v="0"/>
    <d v="2024-12-08T00:00:00"/>
    <x v="1"/>
    <n v="15"/>
    <x v="0"/>
    <x v="0"/>
    <x v="0"/>
    <s v="Yes"/>
    <n v="20"/>
    <n v="20"/>
    <x v="8"/>
  </r>
  <r>
    <n v="3518"/>
    <x v="272"/>
    <x v="2"/>
    <d v="2024-12-09T00:00:00"/>
    <x v="0"/>
    <n v="10"/>
    <x v="2"/>
    <x v="1"/>
    <x v="1"/>
    <s v="Yes"/>
    <n v="20"/>
    <n v="12"/>
    <x v="10"/>
  </r>
  <r>
    <n v="3519"/>
    <x v="273"/>
    <x v="1"/>
    <d v="2024-12-10T00:00:00"/>
    <x v="1"/>
    <n v="5"/>
    <x v="0"/>
    <x v="1"/>
    <x v="1"/>
    <s v="No"/>
    <n v="0"/>
    <n v="2"/>
    <x v="11"/>
  </r>
  <r>
    <n v="3520"/>
    <x v="274"/>
    <x v="0"/>
    <d v="2024-12-11T00:00:00"/>
    <x v="0"/>
    <n v="15"/>
    <x v="1"/>
    <x v="0"/>
    <x v="0"/>
    <s v="Yes"/>
    <n v="20"/>
    <n v="5"/>
    <x v="0"/>
  </r>
  <r>
    <n v="3521"/>
    <x v="275"/>
    <x v="2"/>
    <d v="2024-12-12T00:00:00"/>
    <x v="1"/>
    <n v="10"/>
    <x v="0"/>
    <x v="1"/>
    <x v="1"/>
    <s v="Yes"/>
    <n v="20"/>
    <n v="10"/>
    <x v="2"/>
  </r>
  <r>
    <n v="3522"/>
    <x v="276"/>
    <x v="1"/>
    <d v="2024-12-13T00:00:00"/>
    <x v="0"/>
    <n v="5"/>
    <x v="2"/>
    <x v="1"/>
    <x v="1"/>
    <s v="No"/>
    <n v="0"/>
    <n v="0"/>
    <x v="1"/>
  </r>
  <r>
    <n v="3523"/>
    <x v="277"/>
    <x v="0"/>
    <d v="2024-12-14T00:00:00"/>
    <x v="1"/>
    <n v="15"/>
    <x v="0"/>
    <x v="0"/>
    <x v="0"/>
    <s v="Yes"/>
    <n v="20"/>
    <n v="3"/>
    <x v="3"/>
  </r>
  <r>
    <n v="3524"/>
    <x v="278"/>
    <x v="2"/>
    <d v="2024-12-15T00:00:00"/>
    <x v="0"/>
    <n v="10"/>
    <x v="1"/>
    <x v="1"/>
    <x v="1"/>
    <s v="Yes"/>
    <n v="20"/>
    <n v="15"/>
    <x v="7"/>
  </r>
  <r>
    <n v="3525"/>
    <x v="279"/>
    <x v="1"/>
    <d v="2024-12-16T00:00:00"/>
    <x v="1"/>
    <n v="5"/>
    <x v="0"/>
    <x v="1"/>
    <x v="1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283B7-013D-4031-861E-775C2424147F}" name="tbl_easeasonpass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59B69-6E45-44C0-A03F-710EA1A0F582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F9E685-712C-406E-B4D2-304FD84C51B3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4:C3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multipleItemSelectionAllowed="1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CA0E1D8-338C-4872-86FA-A08CAA54743F}" sourceName="Subscription Type">
  <pivotTables>
    <pivotTable tabId="3" name="tbl_anual_total"/>
    <pivotTable tabId="3" name="tbl_easeasonpasstotal"/>
    <pivotTable tabId="3" name="Tabela dinâmica4"/>
  </pivotTables>
  <data>
    <tabular pivotCacheId="57560075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852BB417-1E23-459D-BD7B-BBFD4916C379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Arial Black-Arial">
      <a:majorFont>
        <a:latin typeface="Arial Black" panose="020B0A0402010202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28" sqref="G28"/>
    </sheetView>
  </sheetViews>
  <sheetFormatPr defaultRowHeight="14.25" x14ac:dyDescent="0.2"/>
  <cols>
    <col min="9" max="9" width="3.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2"/>
    <row r="5" spans="2:16" x14ac:dyDescent="0.2">
      <c r="B5" s="3" t="s">
        <v>2</v>
      </c>
      <c r="C5" t="s">
        <v>8</v>
      </c>
      <c r="E5" s="7" t="s">
        <v>6</v>
      </c>
      <c r="F5" t="s">
        <v>7</v>
      </c>
    </row>
    <row r="6" spans="2:16" x14ac:dyDescent="0.2">
      <c r="B6" s="4" t="s">
        <v>3</v>
      </c>
      <c r="C6" t="s">
        <v>8</v>
      </c>
    </row>
    <row r="7" spans="2:16" x14ac:dyDescent="0.2">
      <c r="B7" s="5" t="s">
        <v>4</v>
      </c>
      <c r="C7" t="s">
        <v>9</v>
      </c>
    </row>
    <row r="8" spans="2:16" x14ac:dyDescent="0.2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2">
      <c r="B13" s="2"/>
      <c r="C13" s="2"/>
      <c r="D13" s="2"/>
      <c r="E13" s="2"/>
      <c r="F13" s="2"/>
      <c r="G13" s="2"/>
      <c r="H13" s="2"/>
    </row>
    <row r="14" spans="2:16" x14ac:dyDescent="0.2">
      <c r="B14" s="2"/>
      <c r="C14" s="2"/>
      <c r="D14" s="2"/>
      <c r="E14" s="2"/>
      <c r="F14" s="2"/>
      <c r="G14" s="2"/>
      <c r="H14" s="2"/>
    </row>
    <row r="15" spans="2:16" x14ac:dyDescent="0.2">
      <c r="B15" s="2"/>
      <c r="C15" s="2"/>
      <c r="D15" s="2"/>
      <c r="E15" s="2"/>
      <c r="F15" s="2"/>
      <c r="G15" s="2"/>
      <c r="H15" s="2"/>
    </row>
    <row r="16" spans="2:1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P56" sqref="P56"/>
    </sheetView>
  </sheetViews>
  <sheetFormatPr defaultRowHeight="14.25" x14ac:dyDescent="0.2"/>
  <cols>
    <col min="1" max="1" width="17.75" customWidth="1"/>
    <col min="2" max="2" width="18.75" customWidth="1"/>
    <col min="3" max="3" width="9.375" customWidth="1"/>
    <col min="4" max="4" width="14.5" customWidth="1"/>
    <col min="5" max="5" width="17.875" customWidth="1"/>
    <col min="6" max="6" width="14.625" customWidth="1"/>
    <col min="7" max="7" width="21.875" customWidth="1"/>
    <col min="8" max="9" width="20.5" customWidth="1"/>
    <col min="10" max="10" width="16.625" customWidth="1"/>
    <col min="11" max="11" width="21.25" customWidth="1"/>
    <col min="12" max="12" width="12.625" customWidth="1"/>
    <col min="13" max="13" width="10.5" customWidth="1"/>
  </cols>
  <sheetData>
    <row r="1" spans="1:13" ht="30" x14ac:dyDescent="0.2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38"/>
  <sheetViews>
    <sheetView showGridLines="0" workbookViewId="0">
      <selection activeCell="Q40" sqref="Q40"/>
    </sheetView>
  </sheetViews>
  <sheetFormatPr defaultRowHeight="14.25" x14ac:dyDescent="0.2"/>
  <cols>
    <col min="2" max="2" width="18" bestFit="1" customWidth="1"/>
    <col min="3" max="3" width="35.125" bestFit="1" customWidth="1"/>
    <col min="4" max="4" width="30.5" customWidth="1"/>
    <col min="5" max="5" width="6.25" customWidth="1"/>
    <col min="6" max="6" width="19" customWidth="1"/>
    <col min="7" max="7" width="24.25" bestFit="1" customWidth="1"/>
    <col min="8" max="8" width="4.75" customWidth="1"/>
    <col min="9" max="9" width="18.5" bestFit="1" customWidth="1"/>
    <col min="10" max="11" width="30.75" bestFit="1" customWidth="1"/>
    <col min="12" max="15" width="8.5" bestFit="1" customWidth="1"/>
    <col min="16" max="16" width="13.625" bestFit="1" customWidth="1"/>
    <col min="17" max="17" width="10.625" bestFit="1" customWidth="1"/>
  </cols>
  <sheetData>
    <row r="3" spans="2:5" x14ac:dyDescent="0.2">
      <c r="B3" t="s">
        <v>321</v>
      </c>
    </row>
    <row r="6" spans="2:5" x14ac:dyDescent="0.2">
      <c r="B6" s="12" t="s">
        <v>16</v>
      </c>
      <c r="C6" t="s">
        <v>24</v>
      </c>
      <c r="E6" t="s">
        <v>316</v>
      </c>
    </row>
    <row r="7" spans="2:5" x14ac:dyDescent="0.2">
      <c r="E7" t="s">
        <v>317</v>
      </c>
    </row>
    <row r="8" spans="2:5" x14ac:dyDescent="0.2">
      <c r="B8" s="12" t="s">
        <v>313</v>
      </c>
      <c r="C8" t="s">
        <v>315</v>
      </c>
    </row>
    <row r="9" spans="2:5" x14ac:dyDescent="0.2">
      <c r="B9" s="13" t="s">
        <v>23</v>
      </c>
      <c r="C9" s="14">
        <v>217</v>
      </c>
    </row>
    <row r="10" spans="2:5" x14ac:dyDescent="0.2">
      <c r="B10" s="13" t="s">
        <v>19</v>
      </c>
      <c r="C10" s="14">
        <v>1537</v>
      </c>
    </row>
    <row r="11" spans="2:5" x14ac:dyDescent="0.2">
      <c r="B11" s="13" t="s">
        <v>314</v>
      </c>
      <c r="C11" s="14">
        <v>1754</v>
      </c>
    </row>
    <row r="18" spans="2:5" x14ac:dyDescent="0.2">
      <c r="B18" s="12" t="s">
        <v>16</v>
      </c>
      <c r="C18" t="s">
        <v>24</v>
      </c>
      <c r="E18" t="s">
        <v>319</v>
      </c>
    </row>
    <row r="20" spans="2:5" x14ac:dyDescent="0.2">
      <c r="B20" s="12" t="s">
        <v>313</v>
      </c>
      <c r="C20" t="s">
        <v>320</v>
      </c>
    </row>
    <row r="21" spans="2:5" x14ac:dyDescent="0.2">
      <c r="B21" s="13" t="s">
        <v>22</v>
      </c>
      <c r="C21" s="26">
        <v>0</v>
      </c>
    </row>
    <row r="22" spans="2:5" x14ac:dyDescent="0.2">
      <c r="B22" s="13" t="s">
        <v>26</v>
      </c>
      <c r="C22" s="26">
        <v>0</v>
      </c>
    </row>
    <row r="23" spans="2:5" x14ac:dyDescent="0.2">
      <c r="B23" s="13" t="s">
        <v>18</v>
      </c>
      <c r="C23" s="26">
        <v>600</v>
      </c>
    </row>
    <row r="24" spans="2:5" x14ac:dyDescent="0.2">
      <c r="B24" s="13" t="s">
        <v>314</v>
      </c>
      <c r="C24" s="26">
        <v>600</v>
      </c>
      <c r="D24" s="16">
        <f>GETPIVOTDATA("EA Play Season Pass
Price",$B$20)</f>
        <v>600</v>
      </c>
    </row>
    <row r="30" spans="2:5" x14ac:dyDescent="0.2">
      <c r="E30" t="s">
        <v>322</v>
      </c>
    </row>
    <row r="32" spans="2:5" x14ac:dyDescent="0.2">
      <c r="B32" s="12" t="s">
        <v>16</v>
      </c>
      <c r="C32" t="s">
        <v>24</v>
      </c>
    </row>
    <row r="34" spans="2:4" x14ac:dyDescent="0.2">
      <c r="B34" s="12" t="s">
        <v>313</v>
      </c>
      <c r="C34" t="s">
        <v>323</v>
      </c>
    </row>
    <row r="35" spans="2:4" x14ac:dyDescent="0.2">
      <c r="B35" s="13" t="s">
        <v>22</v>
      </c>
      <c r="C35" s="14">
        <v>0</v>
      </c>
    </row>
    <row r="36" spans="2:4" x14ac:dyDescent="0.2">
      <c r="B36" s="13" t="s">
        <v>26</v>
      </c>
      <c r="C36" s="14">
        <v>540</v>
      </c>
    </row>
    <row r="37" spans="2:4" x14ac:dyDescent="0.2">
      <c r="B37" s="13" t="s">
        <v>18</v>
      </c>
      <c r="C37" s="14">
        <v>400</v>
      </c>
    </row>
    <row r="38" spans="2:4" x14ac:dyDescent="0.2">
      <c r="B38" s="13" t="s">
        <v>314</v>
      </c>
      <c r="C38" s="14">
        <v>940</v>
      </c>
      <c r="D38" s="17">
        <f>GETPIVOTDATA("Minecraft Season Pass Price",$B$34)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X136"/>
  <sheetViews>
    <sheetView showGridLines="0" showRowColHeaders="0" tabSelected="1" zoomScale="145" zoomScaleNormal="145" workbookViewId="0">
      <selection activeCell="Q40" sqref="Q4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25" x14ac:dyDescent="0.2"/>
  <cols>
    <col min="1" max="1" width="30.875" style="15" customWidth="1"/>
    <col min="2" max="2" width="7" customWidth="1"/>
    <col min="12" max="12" width="6.5" customWidth="1"/>
    <col min="20" max="20" width="3.25" customWidth="1"/>
  </cols>
  <sheetData>
    <row r="1" spans="1:24" ht="18.75" x14ac:dyDescent="0.4">
      <c r="A1" s="18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41.25" customHeight="1" x14ac:dyDescent="0.45">
      <c r="A2" s="18"/>
      <c r="B2" s="19"/>
      <c r="C2" s="20" t="s">
        <v>318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22"/>
      <c r="T2" s="22"/>
      <c r="U2" s="19"/>
      <c r="V2" s="19"/>
      <c r="W2" s="19"/>
      <c r="X2" s="19"/>
    </row>
    <row r="3" spans="1:24" ht="41.25" customHeight="1" x14ac:dyDescent="0.4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24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s="7" customFormat="1" ht="8.25" customHeight="1" x14ac:dyDescent="0.4">
      <c r="A4" s="18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</row>
    <row r="5" spans="1:24" s="7" customFormat="1" ht="7.5" customHeight="1" x14ac:dyDescent="0.4">
      <c r="A5" s="18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</row>
    <row r="6" spans="1:24" s="7" customFormat="1" ht="10.5" customHeight="1" x14ac:dyDescent="0.4">
      <c r="A6" s="18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</row>
    <row r="7" spans="1:24" s="7" customFormat="1" ht="9.75" customHeight="1" x14ac:dyDescent="0.4">
      <c r="A7" s="18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</row>
    <row r="8" spans="1:24" s="7" customFormat="1" ht="33" customHeight="1" x14ac:dyDescent="0.4">
      <c r="A8" s="18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</row>
    <row r="9" spans="1:24" s="7" customFormat="1" ht="18.75" x14ac:dyDescent="0.4">
      <c r="A9" s="18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</row>
    <row r="10" spans="1:24" s="7" customFormat="1" ht="18.75" x14ac:dyDescent="0.4">
      <c r="A10" s="18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</row>
    <row r="11" spans="1:24" s="7" customFormat="1" ht="18.75" x14ac:dyDescent="0.4">
      <c r="A11" s="18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</row>
    <row r="12" spans="1:24" s="7" customFormat="1" ht="18.75" x14ac:dyDescent="0.4">
      <c r="A12" s="18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</row>
    <row r="13" spans="1:24" s="7" customFormat="1" ht="18.75" x14ac:dyDescent="0.4">
      <c r="A13" s="18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</row>
    <row r="14" spans="1:24" s="7" customFormat="1" ht="18.75" x14ac:dyDescent="0.4">
      <c r="A14" s="18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</row>
    <row r="15" spans="1:24" s="7" customFormat="1" ht="18.75" x14ac:dyDescent="0.4">
      <c r="A15" s="18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</row>
    <row r="16" spans="1:24" s="7" customFormat="1" ht="18.75" x14ac:dyDescent="0.4">
      <c r="A16" s="18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</row>
    <row r="17" spans="1:24" s="7" customFormat="1" ht="18.75" x14ac:dyDescent="0.4">
      <c r="A17" s="18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</row>
    <row r="18" spans="1:24" s="7" customFormat="1" ht="18.75" x14ac:dyDescent="0.4">
      <c r="A18" s="18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</row>
    <row r="19" spans="1:24" s="7" customFormat="1" ht="18.75" x14ac:dyDescent="0.4">
      <c r="A19" s="18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</row>
    <row r="20" spans="1:24" s="7" customFormat="1" ht="18.75" x14ac:dyDescent="0.4">
      <c r="A20" s="18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</row>
    <row r="21" spans="1:24" s="7" customFormat="1" ht="18.75" x14ac:dyDescent="0.4">
      <c r="A21" s="18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</row>
    <row r="22" spans="1:24" s="7" customFormat="1" ht="18.75" x14ac:dyDescent="0.4">
      <c r="A22" s="18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</row>
    <row r="23" spans="1:24" s="7" customFormat="1" ht="18.75" x14ac:dyDescent="0.4">
      <c r="A23" s="18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</row>
    <row r="24" spans="1:24" s="7" customFormat="1" ht="18.75" x14ac:dyDescent="0.4">
      <c r="A24" s="18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spans="1:24" s="7" customFormat="1" ht="18.75" x14ac:dyDescent="0.4">
      <c r="A25" s="1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spans="1:24" s="7" customFormat="1" ht="18.75" x14ac:dyDescent="0.4">
      <c r="A26" s="1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spans="1:24" s="7" customFormat="1" ht="18.75" x14ac:dyDescent="0.4">
      <c r="A27" s="1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</row>
    <row r="28" spans="1:24" s="7" customFormat="1" ht="18.75" x14ac:dyDescent="0.4">
      <c r="A28" s="1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 spans="1:24" s="7" customFormat="1" ht="18.75" x14ac:dyDescent="0.4">
      <c r="A29" s="18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</row>
    <row r="30" spans="1:24" s="7" customFormat="1" ht="18.75" x14ac:dyDescent="0.4">
      <c r="A30" s="18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</row>
    <row r="31" spans="1:24" s="7" customFormat="1" ht="18.75" x14ac:dyDescent="0.4">
      <c r="A31" s="18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</row>
    <row r="32" spans="1:24" s="7" customFormat="1" ht="18.75" x14ac:dyDescent="0.4">
      <c r="A32" s="18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</row>
    <row r="33" spans="1:24" s="7" customFormat="1" ht="18.75" x14ac:dyDescent="0.4">
      <c r="A33" s="18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5"/>
      <c r="W33" s="23"/>
      <c r="X33" s="23"/>
    </row>
    <row r="34" spans="1:24" s="7" customFormat="1" ht="18.75" x14ac:dyDescent="0.4">
      <c r="A34" s="18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spans="1:24" s="7" customFormat="1" ht="18.75" x14ac:dyDescent="0.4">
      <c r="A35" s="18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spans="1:24" s="7" customFormat="1" ht="18.75" x14ac:dyDescent="0.4">
      <c r="A36" s="18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</row>
    <row r="37" spans="1:24" s="7" customFormat="1" ht="18.75" x14ac:dyDescent="0.4">
      <c r="A37" s="18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</row>
    <row r="38" spans="1:24" s="7" customFormat="1" ht="18.75" x14ac:dyDescent="0.4">
      <c r="A38" s="18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  <row r="39" spans="1:24" s="7" customFormat="1" ht="18.75" x14ac:dyDescent="0.4">
      <c r="A39" s="18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 spans="1:24" s="7" customFormat="1" ht="18.75" x14ac:dyDescent="0.4">
      <c r="A40" s="18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 spans="1:24" s="7" customFormat="1" ht="18.75" x14ac:dyDescent="0.4">
      <c r="A41" s="18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</row>
    <row r="42" spans="1:24" s="7" customFormat="1" ht="18.75" x14ac:dyDescent="0.4">
      <c r="A42" s="18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</row>
    <row r="43" spans="1:24" s="7" customFormat="1" ht="18.75" x14ac:dyDescent="0.4">
      <c r="A43" s="18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spans="1:24" s="7" customFormat="1" ht="18.75" x14ac:dyDescent="0.4">
      <c r="A44" s="18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spans="1:24" s="7" customFormat="1" ht="18.75" x14ac:dyDescent="0.4">
      <c r="A45" s="18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</row>
    <row r="46" spans="1:24" s="7" customFormat="1" ht="18.75" x14ac:dyDescent="0.4">
      <c r="A46" s="18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</row>
    <row r="47" spans="1:24" s="7" customFormat="1" ht="18.75" x14ac:dyDescent="0.4">
      <c r="A47" s="18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 spans="1:24" s="7" customFormat="1" ht="18.75" x14ac:dyDescent="0.4">
      <c r="A48" s="18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spans="1:24" s="7" customFormat="1" ht="18.75" x14ac:dyDescent="0.4">
      <c r="A49" s="18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</row>
    <row r="50" spans="1:24" s="7" customFormat="1" ht="18.75" x14ac:dyDescent="0.4">
      <c r="A50" s="18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spans="1:24" s="7" customFormat="1" ht="18.75" x14ac:dyDescent="0.4">
      <c r="A51" s="18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</row>
    <row r="52" spans="1:24" s="7" customFormat="1" x14ac:dyDescent="0.2">
      <c r="A52" s="15"/>
    </row>
    <row r="53" spans="1:24" s="7" customFormat="1" x14ac:dyDescent="0.2">
      <c r="A53" s="15"/>
    </row>
    <row r="54" spans="1:24" s="7" customFormat="1" x14ac:dyDescent="0.2">
      <c r="A54" s="15"/>
    </row>
    <row r="55" spans="1:24" s="7" customFormat="1" x14ac:dyDescent="0.2">
      <c r="A55" s="15"/>
    </row>
    <row r="56" spans="1:24" s="7" customFormat="1" x14ac:dyDescent="0.2">
      <c r="A56" s="15"/>
    </row>
    <row r="57" spans="1:24" s="7" customFormat="1" x14ac:dyDescent="0.2">
      <c r="A57" s="15"/>
    </row>
    <row r="58" spans="1:24" s="7" customFormat="1" x14ac:dyDescent="0.2">
      <c r="A58" s="15"/>
    </row>
    <row r="59" spans="1:24" s="7" customFormat="1" x14ac:dyDescent="0.2">
      <c r="A59" s="15"/>
    </row>
    <row r="60" spans="1:24" s="7" customFormat="1" x14ac:dyDescent="0.2">
      <c r="A60" s="15"/>
    </row>
    <row r="61" spans="1:24" s="7" customFormat="1" x14ac:dyDescent="0.2">
      <c r="A61" s="15"/>
    </row>
    <row r="62" spans="1:24" s="7" customFormat="1" x14ac:dyDescent="0.2">
      <c r="A62" s="15"/>
    </row>
    <row r="63" spans="1:24" s="7" customFormat="1" x14ac:dyDescent="0.2">
      <c r="A63" s="15"/>
    </row>
    <row r="64" spans="1:24" s="7" customFormat="1" x14ac:dyDescent="0.2">
      <c r="A64" s="15"/>
    </row>
    <row r="65" spans="1:1" s="7" customFormat="1" x14ac:dyDescent="0.2">
      <c r="A65" s="15"/>
    </row>
    <row r="66" spans="1:1" s="7" customFormat="1" x14ac:dyDescent="0.2">
      <c r="A66" s="15"/>
    </row>
    <row r="67" spans="1:1" s="7" customFormat="1" x14ac:dyDescent="0.2">
      <c r="A67" s="15"/>
    </row>
    <row r="68" spans="1:1" s="7" customFormat="1" x14ac:dyDescent="0.2">
      <c r="A68" s="15"/>
    </row>
    <row r="69" spans="1:1" s="7" customFormat="1" x14ac:dyDescent="0.2">
      <c r="A69" s="15"/>
    </row>
    <row r="70" spans="1:1" s="7" customFormat="1" x14ac:dyDescent="0.2">
      <c r="A70" s="15"/>
    </row>
    <row r="71" spans="1:1" s="7" customFormat="1" x14ac:dyDescent="0.2">
      <c r="A71" s="15"/>
    </row>
    <row r="72" spans="1:1" s="7" customFormat="1" x14ac:dyDescent="0.2">
      <c r="A72" s="15"/>
    </row>
    <row r="73" spans="1:1" s="7" customFormat="1" x14ac:dyDescent="0.2">
      <c r="A73" s="15"/>
    </row>
    <row r="74" spans="1:1" s="7" customFormat="1" x14ac:dyDescent="0.2">
      <c r="A74" s="15"/>
    </row>
    <row r="75" spans="1:1" s="7" customFormat="1" x14ac:dyDescent="0.2">
      <c r="A75" s="15"/>
    </row>
    <row r="76" spans="1:1" s="7" customFormat="1" x14ac:dyDescent="0.2">
      <c r="A76" s="15"/>
    </row>
    <row r="77" spans="1:1" s="7" customFormat="1" x14ac:dyDescent="0.2">
      <c r="A77" s="15"/>
    </row>
    <row r="78" spans="1:1" s="7" customFormat="1" x14ac:dyDescent="0.2">
      <c r="A78" s="15"/>
    </row>
    <row r="79" spans="1:1" s="7" customFormat="1" x14ac:dyDescent="0.2">
      <c r="A79" s="15"/>
    </row>
    <row r="80" spans="1:1" s="7" customFormat="1" x14ac:dyDescent="0.2">
      <c r="A80" s="15"/>
    </row>
    <row r="81" spans="1:1" s="7" customFormat="1" x14ac:dyDescent="0.2">
      <c r="A81" s="15"/>
    </row>
    <row r="82" spans="1:1" s="7" customFormat="1" x14ac:dyDescent="0.2">
      <c r="A82" s="15"/>
    </row>
    <row r="83" spans="1:1" s="7" customFormat="1" x14ac:dyDescent="0.2">
      <c r="A83" s="15"/>
    </row>
    <row r="84" spans="1:1" s="7" customFormat="1" x14ac:dyDescent="0.2">
      <c r="A84" s="15"/>
    </row>
    <row r="85" spans="1:1" s="7" customFormat="1" x14ac:dyDescent="0.2">
      <c r="A85" s="15"/>
    </row>
    <row r="86" spans="1:1" s="7" customFormat="1" x14ac:dyDescent="0.2">
      <c r="A86" s="15"/>
    </row>
    <row r="87" spans="1:1" s="7" customFormat="1" x14ac:dyDescent="0.2">
      <c r="A87" s="15"/>
    </row>
    <row r="88" spans="1:1" s="7" customFormat="1" x14ac:dyDescent="0.2">
      <c r="A88" s="15"/>
    </row>
    <row r="89" spans="1:1" s="7" customFormat="1" x14ac:dyDescent="0.2">
      <c r="A89" s="15"/>
    </row>
    <row r="90" spans="1:1" s="7" customFormat="1" x14ac:dyDescent="0.2">
      <c r="A90" s="15"/>
    </row>
    <row r="91" spans="1:1" s="7" customFormat="1" x14ac:dyDescent="0.2">
      <c r="A91" s="15"/>
    </row>
    <row r="92" spans="1:1" s="7" customFormat="1" x14ac:dyDescent="0.2">
      <c r="A92" s="15"/>
    </row>
    <row r="93" spans="1:1" s="7" customFormat="1" x14ac:dyDescent="0.2">
      <c r="A93" s="15"/>
    </row>
    <row r="94" spans="1:1" s="7" customFormat="1" x14ac:dyDescent="0.2">
      <c r="A94" s="15"/>
    </row>
    <row r="95" spans="1:1" s="7" customFormat="1" x14ac:dyDescent="0.2">
      <c r="A95" s="15"/>
    </row>
    <row r="96" spans="1:1" s="7" customFormat="1" x14ac:dyDescent="0.2">
      <c r="A96" s="15"/>
    </row>
    <row r="97" spans="1:1" s="7" customFormat="1" x14ac:dyDescent="0.2">
      <c r="A97" s="15"/>
    </row>
    <row r="98" spans="1:1" s="7" customFormat="1" x14ac:dyDescent="0.2">
      <c r="A98" s="15"/>
    </row>
    <row r="99" spans="1:1" s="7" customFormat="1" x14ac:dyDescent="0.2">
      <c r="A99" s="15"/>
    </row>
    <row r="100" spans="1:1" s="7" customFormat="1" x14ac:dyDescent="0.2">
      <c r="A100" s="15"/>
    </row>
    <row r="101" spans="1:1" s="7" customFormat="1" x14ac:dyDescent="0.2">
      <c r="A101" s="15"/>
    </row>
    <row r="102" spans="1:1" s="7" customFormat="1" x14ac:dyDescent="0.2">
      <c r="A102" s="15"/>
    </row>
    <row r="103" spans="1:1" s="7" customFormat="1" x14ac:dyDescent="0.2">
      <c r="A103" s="15"/>
    </row>
    <row r="104" spans="1:1" s="7" customFormat="1" x14ac:dyDescent="0.2">
      <c r="A104" s="15"/>
    </row>
    <row r="105" spans="1:1" s="7" customFormat="1" x14ac:dyDescent="0.2">
      <c r="A105" s="15"/>
    </row>
    <row r="106" spans="1:1" s="7" customFormat="1" x14ac:dyDescent="0.2">
      <c r="A106" s="15"/>
    </row>
    <row r="107" spans="1:1" s="7" customFormat="1" x14ac:dyDescent="0.2">
      <c r="A107" s="15"/>
    </row>
    <row r="108" spans="1:1" s="7" customFormat="1" x14ac:dyDescent="0.2">
      <c r="A108" s="15"/>
    </row>
    <row r="109" spans="1:1" s="7" customFormat="1" x14ac:dyDescent="0.2">
      <c r="A109" s="15"/>
    </row>
    <row r="110" spans="1:1" s="7" customFormat="1" x14ac:dyDescent="0.2">
      <c r="A110" s="15"/>
    </row>
    <row r="111" spans="1:1" s="7" customFormat="1" x14ac:dyDescent="0.2">
      <c r="A111" s="15"/>
    </row>
    <row r="112" spans="1:1" s="7" customFormat="1" x14ac:dyDescent="0.2">
      <c r="A112" s="15"/>
    </row>
    <row r="113" spans="1:1" s="7" customFormat="1" x14ac:dyDescent="0.2">
      <c r="A113" s="15"/>
    </row>
    <row r="114" spans="1:1" s="7" customFormat="1" x14ac:dyDescent="0.2">
      <c r="A114" s="15"/>
    </row>
    <row r="115" spans="1:1" s="7" customFormat="1" x14ac:dyDescent="0.2">
      <c r="A115" s="15"/>
    </row>
    <row r="116" spans="1:1" s="7" customFormat="1" x14ac:dyDescent="0.2">
      <c r="A116" s="15"/>
    </row>
    <row r="117" spans="1:1" s="7" customFormat="1" x14ac:dyDescent="0.2">
      <c r="A117" s="15"/>
    </row>
    <row r="118" spans="1:1" s="7" customFormat="1" x14ac:dyDescent="0.2">
      <c r="A118" s="15"/>
    </row>
    <row r="119" spans="1:1" s="7" customFormat="1" x14ac:dyDescent="0.2">
      <c r="A119" s="15"/>
    </row>
    <row r="120" spans="1:1" s="7" customFormat="1" x14ac:dyDescent="0.2">
      <c r="A120" s="15"/>
    </row>
    <row r="121" spans="1:1" s="7" customFormat="1" x14ac:dyDescent="0.2">
      <c r="A121" s="15"/>
    </row>
    <row r="122" spans="1:1" s="7" customFormat="1" x14ac:dyDescent="0.2">
      <c r="A122" s="15"/>
    </row>
    <row r="123" spans="1:1" s="7" customFormat="1" x14ac:dyDescent="0.2">
      <c r="A123" s="15"/>
    </row>
    <row r="124" spans="1:1" s="7" customFormat="1" x14ac:dyDescent="0.2">
      <c r="A124" s="15"/>
    </row>
    <row r="125" spans="1:1" s="7" customFormat="1" x14ac:dyDescent="0.2">
      <c r="A125" s="15"/>
    </row>
    <row r="126" spans="1:1" s="7" customFormat="1" x14ac:dyDescent="0.2">
      <c r="A126" s="15"/>
    </row>
    <row r="127" spans="1:1" s="7" customFormat="1" x14ac:dyDescent="0.2">
      <c r="A127" s="15"/>
    </row>
    <row r="128" spans="1:1" s="7" customFormat="1" x14ac:dyDescent="0.2">
      <c r="A128" s="15"/>
    </row>
    <row r="129" spans="1:1" s="7" customFormat="1" x14ac:dyDescent="0.2">
      <c r="A129" s="15"/>
    </row>
    <row r="130" spans="1:1" s="7" customFormat="1" x14ac:dyDescent="0.2">
      <c r="A130" s="15"/>
    </row>
    <row r="131" spans="1:1" s="7" customFormat="1" x14ac:dyDescent="0.2">
      <c r="A131" s="15"/>
    </row>
    <row r="132" spans="1:1" s="7" customFormat="1" x14ac:dyDescent="0.2">
      <c r="A132" s="15"/>
    </row>
    <row r="133" spans="1:1" s="7" customFormat="1" x14ac:dyDescent="0.2">
      <c r="A133" s="15"/>
    </row>
    <row r="134" spans="1:1" s="7" customFormat="1" x14ac:dyDescent="0.2">
      <c r="A134" s="15"/>
    </row>
    <row r="135" spans="1:1" s="7" customFormat="1" x14ac:dyDescent="0.2">
      <c r="A135" s="15"/>
    </row>
    <row r="136" spans="1:1" s="7" customFormat="1" x14ac:dyDescent="0.2">
      <c r="A136" s="15"/>
    </row>
  </sheetData>
  <sheetProtection sheet="1" scenarios="1" selectLockedCells="1" pivotTables="0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Armond Bravo Ananias</cp:lastModifiedBy>
  <dcterms:created xsi:type="dcterms:W3CDTF">2024-12-19T13:13:10Z</dcterms:created>
  <dcterms:modified xsi:type="dcterms:W3CDTF">2026-10-14T22:05:51Z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