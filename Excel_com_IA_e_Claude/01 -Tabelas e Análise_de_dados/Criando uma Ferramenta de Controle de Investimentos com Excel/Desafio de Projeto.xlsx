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odri\Downloads\Santander Open Academy\Excel com IA e Claude\01 - Tabelas e Análise de Dados\06 - Criando uma Ferramenta de Controle de Investimentos com Excel\"/>
    </mc:Choice>
  </mc:AlternateContent>
  <xr:revisionPtr revIDLastSave="0" documentId="13_ncr:1_{D8B7F33F-4501-43CE-BD09-7114BD8926B6}" xr6:coauthVersionLast="47" xr6:coauthVersionMax="47" xr10:uidLastSave="{00000000-0000-0000-0000-000000000000}"/>
  <bookViews>
    <workbookView xWindow="-105" yWindow="0" windowWidth="25815" windowHeight="20985" tabRatio="633" xr2:uid="{00000000-000D-0000-FFFF-FFFF00000000}"/>
  </bookViews>
  <sheets>
    <sheet name="Simulador de Investimento" sheetId="1" r:id="rId1"/>
    <sheet name="Tabela de Apoio" sheetId="2" r:id="rId2"/>
  </sheets>
  <definedNames>
    <definedName name="Aporte">'Simulador de Investimento'!$D$13</definedName>
    <definedName name="_xlnm.Print_Area" localSheetId="0">'Simulador de Investimento'!$A$1:$H$31</definedName>
    <definedName name="Patrimonio">'Simulador de Investimento'!$D$16</definedName>
    <definedName name="Qtd_Anos">'Simulador de Investimento'!$D$14</definedName>
    <definedName name="Rendimento_Carteira">'Simulador de Investimento'!$D$9</definedName>
    <definedName name="Salario">'Simulador de Investimento'!$D$8</definedName>
    <definedName name="Sugestao_Investimento">'Simulador de Investimento'!$B$10</definedName>
    <definedName name="Taxa_mensal">'Simulador de Investimento'!$D$15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1" i="1"/>
  <c r="C32" i="1"/>
  <c r="C33" i="1"/>
  <c r="C34" i="1"/>
  <c r="C35" i="1"/>
  <c r="C30" i="1"/>
  <c r="C36" i="1" s="1"/>
  <c r="H4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D27" i="1"/>
  <c r="D16" i="1"/>
  <c r="D17" i="1" s="1"/>
  <c r="C20" i="1"/>
  <c r="D20" i="1" s="1"/>
  <c r="D10" i="1"/>
  <c r="C21" i="1"/>
  <c r="D21" i="1" s="1"/>
  <c r="C22" i="1"/>
  <c r="D22" i="1" s="1"/>
  <c r="C23" i="1"/>
  <c r="D23" i="1" s="1"/>
  <c r="C24" i="1"/>
  <c r="D24" i="1" s="1"/>
  <c r="D31" i="1" l="1"/>
  <c r="D32" i="1"/>
  <c r="D34" i="1"/>
  <c r="D33" i="1"/>
  <c r="D30" i="1"/>
  <c r="D36" i="1" l="1"/>
</calcChain>
</file>

<file path=xl/sharedStrings.xml><?xml version="1.0" encoding="utf-8"?>
<sst xmlns="http://schemas.openxmlformats.org/spreadsheetml/2006/main" count="72" uniqueCount="35">
  <si>
    <t>Qual é a Taxa de Rendimento mensal?</t>
  </si>
  <si>
    <t>Por quantos anos devo investir?</t>
  </si>
  <si>
    <t>Investimento Mensal</t>
  </si>
  <si>
    <t>Quanto de patrimônio acumulado terei?</t>
  </si>
  <si>
    <t>Quanto devo investir por mês?</t>
  </si>
  <si>
    <t>Quanto de dividendos mensais?</t>
  </si>
  <si>
    <t>Quanto em 2 anos?</t>
  </si>
  <si>
    <t>Quanto em 5 anos?</t>
  </si>
  <si>
    <t>Quanto em 10 anos?</t>
  </si>
  <si>
    <t>Quanto em 20 anos?</t>
  </si>
  <si>
    <t>Quantos em 30 anos?</t>
  </si>
  <si>
    <t>Cenários</t>
  </si>
  <si>
    <t>Dividendos</t>
  </si>
  <si>
    <t>Configurações</t>
  </si>
  <si>
    <t>Salário</t>
  </si>
  <si>
    <t>Rendimento Carteira</t>
  </si>
  <si>
    <t>Sugestão de Investimento</t>
  </si>
  <si>
    <t>Perfil</t>
  </si>
  <si>
    <t>Agressivo</t>
  </si>
  <si>
    <t>Moderado</t>
  </si>
  <si>
    <t>Conservador</t>
  </si>
  <si>
    <t>Aporte mensal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</si>
  <si>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</si>
  <si>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</si>
  <si>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</si>
  <si>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</si>
  <si>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</si>
  <si>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</si>
  <si>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</si>
  <si>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</si>
  <si>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</si>
  <si>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Percentual</t>
  </si>
  <si>
    <t>Chave Composta</t>
  </si>
  <si>
    <t>Moderado-Tijolo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</si>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</sst>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67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24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22"/>
      <color theme="0"/>
      <name val="Times New Roman"/>
      <family val="1"/>
    </font>
    <font>
      <sz val="12"/>
      <color theme="0"/>
      <name val="Times New Roman"/>
      <family val="1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/>
      <diagonal/>
    </border>
    <border>
      <left/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/>
      <top/>
      <bottom/>
      <diagonal/>
    </border>
    <border>
      <left/>
      <right style="thin">
        <color theme="9" tint="0.39994506668294322"/>
      </right>
      <top/>
      <bottom/>
      <diagonal/>
    </border>
    <border>
      <left style="thin">
        <color theme="9" tint="0.39994506668294322"/>
      </left>
      <right/>
      <top/>
      <bottom style="thin">
        <color theme="9" tint="0.39994506668294322"/>
      </bottom>
      <diagonal/>
    </border>
    <border>
      <left/>
      <right style="thin">
        <color theme="9" tint="0.39994506668294322"/>
      </right>
      <top/>
      <bottom style="thin">
        <color theme="9" tint="0.39994506668294322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n">
        <color theme="9" tint="0.39997558519241921"/>
      </right>
      <top style="thick">
        <color auto="1"/>
      </top>
      <bottom/>
      <diagonal/>
    </border>
    <border>
      <left/>
      <right style="thin">
        <color theme="9" tint="0.39997558519241921"/>
      </right>
      <top/>
      <bottom/>
      <diagonal/>
    </border>
    <border>
      <left/>
      <right style="thin">
        <color theme="9" tint="0.39997558519241921"/>
      </right>
      <top/>
      <bottom style="thick">
        <color auto="1"/>
      </bottom>
      <diagonal/>
    </border>
    <border>
      <left/>
      <right/>
      <top/>
      <bottom style="thin">
        <color theme="9" tint="0.39994506668294322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0" fillId="0" borderId="0" xfId="0" applyBorder="1"/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0" borderId="0" xfId="0" applyFont="1"/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/>
    </xf>
    <xf numFmtId="10" fontId="4" fillId="0" borderId="4" xfId="1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7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167" fontId="6" fillId="4" borderId="4" xfId="0" applyNumberFormat="1" applyFont="1" applyFill="1" applyBorder="1" applyAlignment="1">
      <alignment horizontal="center"/>
    </xf>
    <xf numFmtId="0" fontId="4" fillId="7" borderId="4" xfId="0" applyFont="1" applyFill="1" applyBorder="1" applyAlignment="1">
      <alignment horizontal="left"/>
    </xf>
    <xf numFmtId="0" fontId="2" fillId="2" borderId="0" xfId="2"/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6" borderId="0" xfId="0" applyFill="1"/>
    <xf numFmtId="0" fontId="0" fillId="0" borderId="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13" xfId="0" applyBorder="1"/>
    <xf numFmtId="9" fontId="0" fillId="0" borderId="14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2" fillId="2" borderId="0" xfId="1" applyFont="1" applyFill="1"/>
    <xf numFmtId="0" fontId="4" fillId="7" borderId="10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167" fontId="4" fillId="7" borderId="11" xfId="0" applyNumberFormat="1" applyFont="1" applyFill="1" applyBorder="1" applyAlignment="1">
      <alignment horizontal="center"/>
    </xf>
    <xf numFmtId="0" fontId="9" fillId="5" borderId="18" xfId="2" applyFont="1" applyFill="1" applyBorder="1" applyAlignment="1">
      <alignment horizontal="center"/>
    </xf>
    <xf numFmtId="0" fontId="9" fillId="5" borderId="19" xfId="2" applyFont="1" applyFill="1" applyBorder="1" applyAlignment="1">
      <alignment horizontal="center"/>
    </xf>
    <xf numFmtId="0" fontId="9" fillId="5" borderId="20" xfId="2" applyFont="1" applyFill="1" applyBorder="1" applyAlignment="1">
      <alignment horizontal="center"/>
    </xf>
    <xf numFmtId="0" fontId="4" fillId="4" borderId="5" xfId="0" applyFont="1" applyFill="1" applyBorder="1"/>
    <xf numFmtId="0" fontId="4" fillId="4" borderId="5" xfId="0" applyFont="1" applyFill="1" applyBorder="1" applyAlignment="1">
      <alignment horizontal="center"/>
    </xf>
    <xf numFmtId="0" fontId="4" fillId="7" borderId="5" xfId="0" applyFont="1" applyFill="1" applyBorder="1"/>
    <xf numFmtId="9" fontId="4" fillId="7" borderId="5" xfId="0" applyNumberFormat="1" applyFont="1" applyFill="1" applyBorder="1" applyAlignment="1">
      <alignment horizontal="center"/>
    </xf>
    <xf numFmtId="167" fontId="4" fillId="7" borderId="5" xfId="0" applyNumberFormat="1" applyFont="1" applyFill="1" applyBorder="1" applyAlignment="1">
      <alignment horizontal="center"/>
    </xf>
    <xf numFmtId="9" fontId="4" fillId="4" borderId="5" xfId="0" applyNumberFormat="1" applyFont="1" applyFill="1" applyBorder="1" applyAlignment="1">
      <alignment horizontal="center"/>
    </xf>
    <xf numFmtId="167" fontId="4" fillId="4" borderId="5" xfId="0" applyNumberFormat="1" applyFont="1" applyFill="1" applyBorder="1" applyAlignment="1">
      <alignment horizontal="center"/>
    </xf>
    <xf numFmtId="0" fontId="10" fillId="0" borderId="0" xfId="0" applyFont="1"/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183173</xdr:colOff>
      <xdr:row>1</xdr:row>
      <xdr:rowOff>153866</xdr:rowOff>
    </xdr:from>
    <xdr:to>
      <xdr:col>5</xdr:col>
      <xdr:colOff>402980</xdr:colOff>
      <xdr:row>5</xdr:row>
      <xdr:rowOff>43961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B4F9D9C4-468B-DC2F-4899-63487B5BE64B}"/>
            </a:ext>
          </a:extLst>
        </xdr:cNvPr>
        <xdr:cNvGrpSpPr/>
      </xdr:nvGrpSpPr>
      <xdr:grpSpPr>
        <a:xfrm>
          <a:off x="183173" y="256443"/>
          <a:ext cx="5268057" cy="652095"/>
          <a:chOff x="571501" y="161925"/>
          <a:chExt cx="7058024" cy="1514476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A2428622-9A84-5CF4-8C20-BB599E22DB38}"/>
              </a:ext>
            </a:extLst>
          </xdr:cNvPr>
          <xdr:cNvSpPr/>
        </xdr:nvSpPr>
        <xdr:spPr>
          <a:xfrm>
            <a:off x="685800" y="304800"/>
            <a:ext cx="6943725" cy="1371601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99EE31E8-B05A-9256-4840-9F7B0EB021DA}"/>
              </a:ext>
            </a:extLst>
          </xdr:cNvPr>
          <xdr:cNvGrpSpPr/>
        </xdr:nvGrpSpPr>
        <xdr:grpSpPr>
          <a:xfrm>
            <a:off x="571501" y="161925"/>
            <a:ext cx="6915150" cy="1371600"/>
            <a:chOff x="609601" y="209550"/>
            <a:chExt cx="6915150" cy="1371600"/>
          </a:xfrm>
        </xdr:grpSpPr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310DBE5E-7A72-4AA8-6D5D-9E69380A3C65}"/>
                </a:ext>
              </a:extLst>
            </xdr:cNvPr>
            <xdr:cNvSpPr>
              <a:spLocks noChangeAspect="1"/>
            </xdr:cNvSpPr>
          </xdr:nvSpPr>
          <xdr:spPr>
            <a:xfrm>
              <a:off x="609601" y="209550"/>
              <a:ext cx="6915150" cy="1371600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pt-BR" sz="320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Andromedu's Investments</a:t>
              </a:r>
            </a:p>
            <a:p>
              <a:pPr algn="l"/>
              <a:endParaRPr lang="pt-BR" sz="1100"/>
            </a:p>
          </xdr:txBody>
        </xdr:sp>
        <xdr:pic>
          <xdr:nvPicPr>
            <xdr:cNvPr id="11" name="Gráfico 10" descr="Carteira com preenchimento sólido">
              <a:extLst>
                <a:ext uri="{FF2B5EF4-FFF2-40B4-BE49-F238E27FC236}">
                  <a16:creationId xmlns:a16="http://schemas.microsoft.com/office/drawing/2014/main" id="{998804A7-181B-340D-59E8-EE47E83492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702006" y="329334"/>
              <a:ext cx="914399" cy="914400"/>
            </a:xfrm>
            <a:prstGeom prst="rect">
              <a:avLst/>
            </a:prstGeom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zoomScale="130" zoomScaleNormal="130" workbookViewId="0">
      <selection activeCell="F33" sqref="F33:F3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6.140625" customWidth="1"/>
    <col min="2" max="2" width="21" bestFit="1" customWidth="1"/>
    <col min="3" max="3" width="19.140625" bestFit="1" customWidth="1"/>
    <col min="4" max="4" width="21.85546875" customWidth="1"/>
    <col min="5" max="5" width="7.5703125" customWidth="1"/>
    <col min="6" max="6" width="6.42578125" customWidth="1"/>
    <col min="7" max="7" width="4.7109375" customWidth="1"/>
    <col min="8" max="8" width="4.140625" customWidth="1"/>
    <col min="9" max="9" width="11.5703125" hidden="1" customWidth="1"/>
    <col min="10" max="10" width="9.140625" hidden="1" customWidth="1"/>
    <col min="11" max="16384" width="9.140625" hidden="1"/>
  </cols>
  <sheetData>
    <row r="1" spans="2:10" ht="8.25" customHeight="1" x14ac:dyDescent="0.25"/>
    <row r="7" spans="2:10" ht="27" x14ac:dyDescent="0.25">
      <c r="B7" s="21" t="s">
        <v>13</v>
      </c>
      <c r="C7" s="22"/>
      <c r="D7" s="22"/>
    </row>
    <row r="8" spans="2:10" ht="15.75" x14ac:dyDescent="0.25">
      <c r="B8" s="19" t="s">
        <v>14</v>
      </c>
      <c r="C8" s="19"/>
      <c r="D8" s="10">
        <v>3000</v>
      </c>
    </row>
    <row r="9" spans="2:10" ht="15.75" x14ac:dyDescent="0.25">
      <c r="B9" s="19" t="s">
        <v>15</v>
      </c>
      <c r="C9" s="19"/>
      <c r="D9" s="11">
        <v>8.8999999999999999E-3</v>
      </c>
    </row>
    <row r="10" spans="2:10" ht="15.75" x14ac:dyDescent="0.25">
      <c r="B10" s="15" t="s">
        <v>16</v>
      </c>
      <c r="C10" s="15"/>
      <c r="D10" s="14">
        <f>D8*30%</f>
        <v>900</v>
      </c>
    </row>
    <row r="12" spans="2:10" ht="39" customHeight="1" x14ac:dyDescent="0.25">
      <c r="B12" s="6" t="s">
        <v>2</v>
      </c>
      <c r="C12" s="7"/>
      <c r="D12" s="9"/>
    </row>
    <row r="13" spans="2:10" ht="15.75" x14ac:dyDescent="0.25">
      <c r="B13" s="19" t="s">
        <v>4</v>
      </c>
      <c r="C13" s="19"/>
      <c r="D13" s="10">
        <v>900</v>
      </c>
    </row>
    <row r="14" spans="2:10" ht="15.75" x14ac:dyDescent="0.25">
      <c r="B14" s="19" t="s">
        <v>1</v>
      </c>
      <c r="C14" s="19"/>
      <c r="D14" s="12">
        <v>5</v>
      </c>
    </row>
    <row r="15" spans="2:10" ht="15.75" x14ac:dyDescent="0.25">
      <c r="B15" s="19" t="s">
        <v>0</v>
      </c>
      <c r="C15" s="19"/>
      <c r="D15" s="13">
        <v>1.0789999999999999E-2</v>
      </c>
    </row>
    <row r="16" spans="2:10" ht="15.75" x14ac:dyDescent="0.25">
      <c r="B16" s="16" t="s">
        <v>3</v>
      </c>
      <c r="C16" s="16"/>
      <c r="D16" s="18">
        <f>FV(Taxa_mensal,Qtd_Anos*12,Aporte*-1)</f>
        <v>75399.22259863888</v>
      </c>
      <c r="J16" s="1"/>
    </row>
    <row r="17" spans="1:4" ht="15.75" x14ac:dyDescent="0.25">
      <c r="B17" s="16" t="s">
        <v>5</v>
      </c>
      <c r="C17" s="16"/>
      <c r="D17" s="18">
        <f>Patrimonio*Rendimento_Carteira</f>
        <v>671.053081127886</v>
      </c>
    </row>
    <row r="19" spans="1:4" ht="30" x14ac:dyDescent="0.25">
      <c r="B19" s="3" t="s">
        <v>11</v>
      </c>
      <c r="C19" s="4"/>
      <c r="D19" s="8" t="s">
        <v>12</v>
      </c>
    </row>
    <row r="20" spans="1:4" ht="15.75" x14ac:dyDescent="0.25">
      <c r="A20" s="5">
        <v>2</v>
      </c>
      <c r="B20" s="17" t="s">
        <v>6</v>
      </c>
      <c r="C20" s="14">
        <f>FV($D$15,$A20*12,$D$13*-1)</f>
        <v>24504.864567880697</v>
      </c>
      <c r="D20" s="14">
        <f>C20*Rendimento_Carteira</f>
        <v>218.09329465413819</v>
      </c>
    </row>
    <row r="21" spans="1:4" ht="15.75" x14ac:dyDescent="0.25">
      <c r="A21" s="5">
        <v>5</v>
      </c>
      <c r="B21" s="17" t="s">
        <v>7</v>
      </c>
      <c r="C21" s="14">
        <f>FV($D$15,$A21*12,$D$13*-1)</f>
        <v>75399.22259863888</v>
      </c>
      <c r="D21" s="14">
        <f>C21*Rendimento_Carteira</f>
        <v>671.053081127886</v>
      </c>
    </row>
    <row r="22" spans="1:4" ht="15.75" x14ac:dyDescent="0.25">
      <c r="A22" s="5">
        <v>10</v>
      </c>
      <c r="B22" s="17" t="s">
        <v>8</v>
      </c>
      <c r="C22" s="14">
        <f>FV($D$15,$A22*12,$D$13*-1)</f>
        <v>218955.79127715499</v>
      </c>
      <c r="D22" s="14">
        <f>C22*Rendimento_Carteira</f>
        <v>1948.7065423666793</v>
      </c>
    </row>
    <row r="23" spans="1:4" ht="15.75" x14ac:dyDescent="0.25">
      <c r="A23" s="5">
        <v>20</v>
      </c>
      <c r="B23" s="17" t="s">
        <v>9</v>
      </c>
      <c r="C23" s="14">
        <f>FV($D$15,$A23*12,$D$13*-1)</f>
        <v>1012678.5600873725</v>
      </c>
      <c r="D23" s="14">
        <f>C23*Rendimento_Carteira</f>
        <v>9012.8391847776147</v>
      </c>
    </row>
    <row r="24" spans="1:4" ht="15.75" x14ac:dyDescent="0.25">
      <c r="A24" s="5">
        <v>30</v>
      </c>
      <c r="B24" s="17" t="s">
        <v>10</v>
      </c>
      <c r="C24" s="14">
        <f>FV($D$15,$A24*12,$D$13*-1)</f>
        <v>3889952.689504243</v>
      </c>
      <c r="D24" s="14">
        <f>C24*Rendimento_Carteira</f>
        <v>34620.578936587764</v>
      </c>
    </row>
    <row r="26" spans="1:4" ht="15.75" x14ac:dyDescent="0.25">
      <c r="B26" s="37" t="s">
        <v>17</v>
      </c>
      <c r="C26" s="38"/>
      <c r="D26" s="39" t="s">
        <v>18</v>
      </c>
    </row>
    <row r="27" spans="1:4" ht="15.75" x14ac:dyDescent="0.25">
      <c r="B27" s="34" t="s">
        <v>21</v>
      </c>
      <c r="C27" s="35"/>
      <c r="D27" s="36">
        <f>Aporte</f>
        <v>900</v>
      </c>
    </row>
    <row r="28" spans="1:4" ht="15.75" x14ac:dyDescent="0.25">
      <c r="B28" s="1"/>
      <c r="C28" s="1"/>
      <c r="D28" s="1"/>
    </row>
    <row r="29" spans="1:4" ht="15.75" x14ac:dyDescent="0.25">
      <c r="B29" s="40" t="s">
        <v>22</v>
      </c>
      <c r="C29" s="40" t="s">
        <v>23</v>
      </c>
      <c r="D29" s="41" t="s">
        <v>24</v>
      </c>
    </row>
    <row r="30" spans="1:4" ht="15.75" x14ac:dyDescent="0.25">
      <c r="B30" s="42" t="s">
        <v>25</v>
      </c>
      <c r="C30" s="43">
        <f>VLOOKUP($D$26&amp;"-"&amp;B30,'Tabela de Apoio'!$A:$D,4,FALSE)</f>
        <v>0.5</v>
      </c>
      <c r="D30" s="44">
        <f>C30*$D$27</f>
        <v>450</v>
      </c>
    </row>
    <row r="31" spans="1:4" ht="15.75" x14ac:dyDescent="0.25">
      <c r="B31" s="42" t="s">
        <v>26</v>
      </c>
      <c r="C31" s="43">
        <f>VLOOKUP($D$26&amp;"-"&amp;B31,'Tabela de Apoio'!$A:$D,4,FALSE)</f>
        <v>0.1</v>
      </c>
      <c r="D31" s="44">
        <f>C31*$D$27</f>
        <v>90</v>
      </c>
    </row>
    <row r="32" spans="1:4" ht="15.75" x14ac:dyDescent="0.25">
      <c r="B32" s="42" t="s">
        <v>27</v>
      </c>
      <c r="C32" s="43">
        <f>VLOOKUP($D$26&amp;"-"&amp;B32,'Tabela de Apoio'!$A:$D,4,FALSE)</f>
        <v>0.05</v>
      </c>
      <c r="D32" s="44">
        <f>C32*$D$27</f>
        <v>45</v>
      </c>
    </row>
    <row r="33" spans="2:6" ht="15.75" x14ac:dyDescent="0.25">
      <c r="B33" s="42" t="s">
        <v>28</v>
      </c>
      <c r="C33" s="43">
        <f>VLOOKUP($D$26&amp;"-"&amp;B33,'Tabela de Apoio'!$A:$D,4,FALSE)</f>
        <v>0.05</v>
      </c>
      <c r="D33" s="44">
        <f>C33*$D$27</f>
        <v>45</v>
      </c>
      <c r="F33" s="47"/>
    </row>
    <row r="34" spans="2:6" ht="15.75" x14ac:dyDescent="0.25">
      <c r="B34" s="42" t="s">
        <v>29</v>
      </c>
      <c r="C34" s="43">
        <f>VLOOKUP($D$26&amp;"-"&amp;B34,'Tabela de Apoio'!$A:$D,4,FALSE)</f>
        <v>0.2</v>
      </c>
      <c r="D34" s="44">
        <f>C34*$D$27</f>
        <v>180</v>
      </c>
      <c r="F34" s="47"/>
    </row>
    <row r="35" spans="2:6" ht="15.75" x14ac:dyDescent="0.25">
      <c r="B35" s="42" t="s">
        <v>30</v>
      </c>
      <c r="C35" s="43">
        <f>VLOOKUP($D$26&amp;"-"&amp;B35,'Tabela de Apoio'!$A:$D,4,FALSE)</f>
        <v>0.1</v>
      </c>
      <c r="D35" s="44">
        <f>C35*$D$27</f>
        <v>90</v>
      </c>
    </row>
    <row r="36" spans="2:6" ht="15.75" x14ac:dyDescent="0.25">
      <c r="B36" s="40" t="s">
        <v>34</v>
      </c>
      <c r="C36" s="45">
        <f>SUM(C30:C35)</f>
        <v>1.0000000000000002</v>
      </c>
      <c r="D36" s="46">
        <f>SUM(D30:D35)</f>
        <v>900</v>
      </c>
    </row>
    <row r="37" spans="2:6" x14ac:dyDescent="0.25">
      <c r="B37" s="24"/>
      <c r="C37" s="24"/>
      <c r="D37" s="24"/>
    </row>
  </sheetData>
  <mergeCells count="13">
    <mergeCell ref="B26:C26"/>
    <mergeCell ref="B27:C27"/>
    <mergeCell ref="B8:C8"/>
    <mergeCell ref="B9:C9"/>
    <mergeCell ref="B10:C10"/>
    <mergeCell ref="B12:D12"/>
    <mergeCell ref="B7:D7"/>
    <mergeCell ref="B14:C14"/>
    <mergeCell ref="B19:C19"/>
    <mergeCell ref="B13:C13"/>
    <mergeCell ref="B15:C15"/>
    <mergeCell ref="B16:C16"/>
    <mergeCell ref="B17:C17"/>
  </mergeCells>
  <dataValidations count="1">
    <dataValidation type="list" allowBlank="1" showInputMessage="1" showErrorMessage="1" sqref="D26" xr:uid="{BA7C3469-FAD0-46BB-A9A6-890B8A08F36E}">
      <formula1>"Conservador,Moderado,Agressivo"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68C7-6EAC-4B91-8D98-973641EBB538}">
  <dimension ref="A2:H20"/>
  <sheetViews>
    <sheetView workbookViewId="0">
      <selection activeCell="D13" sqref="D13"/>
    </sheetView>
  </sheetViews>
  <sheetFormatPr defaultRowHeight="15" x14ac:dyDescent="0.25"/>
  <cols>
    <col min="1" max="1" width="29.140625" bestFit="1" customWidth="1"/>
    <col min="2" max="2" width="12.140625" bestFit="1" customWidth="1"/>
    <col min="3" max="3" width="16.85546875" bestFit="1" customWidth="1"/>
    <col min="4" max="4" width="10.5703125" bestFit="1" customWidth="1"/>
    <col min="7" max="7" width="16" bestFit="1" customWidth="1"/>
    <col min="8" max="8" width="13" customWidth="1"/>
  </cols>
  <sheetData>
    <row r="2" spans="1:8" x14ac:dyDescent="0.25">
      <c r="A2" t="s">
        <v>32</v>
      </c>
      <c r="B2" t="s">
        <v>17</v>
      </c>
      <c r="C2" t="s">
        <v>22</v>
      </c>
      <c r="D2" t="s">
        <v>31</v>
      </c>
    </row>
    <row r="3" spans="1:8" x14ac:dyDescent="0.25">
      <c r="A3" t="str">
        <f>B3&amp;"-"&amp;C3</f>
        <v>Conservador-Papel</v>
      </c>
      <c r="B3" t="s">
        <v>20</v>
      </c>
      <c r="C3" t="s">
        <v>25</v>
      </c>
      <c r="D3" s="23">
        <v>0.3</v>
      </c>
      <c r="H3" t="s">
        <v>31</v>
      </c>
    </row>
    <row r="4" spans="1:8" x14ac:dyDescent="0.25">
      <c r="A4" t="str">
        <f t="shared" ref="A4:A20" si="0">B4&amp;"-"&amp;C4</f>
        <v>Conservador-Tijolo</v>
      </c>
      <c r="B4" t="s">
        <v>20</v>
      </c>
      <c r="C4" t="s">
        <v>26</v>
      </c>
      <c r="D4" s="23">
        <v>0.5</v>
      </c>
      <c r="G4" s="20" t="s">
        <v>33</v>
      </c>
      <c r="H4" s="33">
        <f>VLOOKUP(G4,$A:$D,4,)</f>
        <v>0.35</v>
      </c>
    </row>
    <row r="5" spans="1:8" x14ac:dyDescent="0.25">
      <c r="A5" t="str">
        <f t="shared" si="0"/>
        <v>Conservador-Híbridos</v>
      </c>
      <c r="B5" t="s">
        <v>20</v>
      </c>
      <c r="C5" t="s">
        <v>27</v>
      </c>
      <c r="D5" s="23">
        <v>0.1</v>
      </c>
    </row>
    <row r="6" spans="1:8" x14ac:dyDescent="0.25">
      <c r="A6" t="str">
        <f t="shared" si="0"/>
        <v>Conservador-FOFs</v>
      </c>
      <c r="B6" t="s">
        <v>20</v>
      </c>
      <c r="C6" t="s">
        <v>28</v>
      </c>
      <c r="D6" s="23">
        <v>0.1</v>
      </c>
    </row>
    <row r="7" spans="1:8" x14ac:dyDescent="0.25">
      <c r="A7" t="str">
        <f t="shared" si="0"/>
        <v>Conservador-Desenvolvimento</v>
      </c>
      <c r="B7" t="s">
        <v>20</v>
      </c>
      <c r="C7" t="s">
        <v>29</v>
      </c>
      <c r="D7" s="23">
        <v>0</v>
      </c>
    </row>
    <row r="8" spans="1:8" ht="15.75" thickBot="1" x14ac:dyDescent="0.3">
      <c r="A8" t="str">
        <f t="shared" si="0"/>
        <v>Conservador-Hotelarias</v>
      </c>
      <c r="B8" t="s">
        <v>20</v>
      </c>
      <c r="C8" t="s">
        <v>30</v>
      </c>
      <c r="D8" s="23">
        <v>0</v>
      </c>
    </row>
    <row r="9" spans="1:8" ht="15.75" thickTop="1" x14ac:dyDescent="0.25">
      <c r="A9" s="25" t="str">
        <f t="shared" si="0"/>
        <v>Moderado-Papel</v>
      </c>
      <c r="B9" s="26" t="s">
        <v>19</v>
      </c>
      <c r="C9" s="26" t="s">
        <v>25</v>
      </c>
      <c r="D9" s="30">
        <v>0.32</v>
      </c>
    </row>
    <row r="10" spans="1:8" x14ac:dyDescent="0.25">
      <c r="A10" s="27" t="str">
        <f t="shared" si="0"/>
        <v>Moderado-Tijolo</v>
      </c>
      <c r="B10" s="2" t="s">
        <v>19</v>
      </c>
      <c r="C10" s="2" t="s">
        <v>26</v>
      </c>
      <c r="D10" s="31">
        <v>0.35</v>
      </c>
    </row>
    <row r="11" spans="1:8" x14ac:dyDescent="0.25">
      <c r="A11" s="27" t="str">
        <f t="shared" si="0"/>
        <v>Moderado-Híbridos</v>
      </c>
      <c r="B11" s="2" t="s">
        <v>19</v>
      </c>
      <c r="C11" s="2" t="s">
        <v>27</v>
      </c>
      <c r="D11" s="31">
        <v>0.08</v>
      </c>
    </row>
    <row r="12" spans="1:8" x14ac:dyDescent="0.25">
      <c r="A12" s="27" t="str">
        <f t="shared" si="0"/>
        <v>Moderado-FOFs</v>
      </c>
      <c r="B12" s="2" t="s">
        <v>19</v>
      </c>
      <c r="C12" s="2" t="s">
        <v>28</v>
      </c>
      <c r="D12" s="31">
        <v>0.05</v>
      </c>
    </row>
    <row r="13" spans="1:8" x14ac:dyDescent="0.25">
      <c r="A13" s="27" t="str">
        <f t="shared" si="0"/>
        <v>Moderado-Desenvolvimento</v>
      </c>
      <c r="B13" s="2" t="s">
        <v>19</v>
      </c>
      <c r="C13" s="2" t="s">
        <v>29</v>
      </c>
      <c r="D13" s="31">
        <v>0.1</v>
      </c>
    </row>
    <row r="14" spans="1:8" ht="15.75" thickBot="1" x14ac:dyDescent="0.3">
      <c r="A14" s="28" t="str">
        <f t="shared" si="0"/>
        <v>Moderado-Hotelarias</v>
      </c>
      <c r="B14" s="29" t="s">
        <v>19</v>
      </c>
      <c r="C14" s="29" t="s">
        <v>30</v>
      </c>
      <c r="D14" s="32">
        <v>0.1</v>
      </c>
    </row>
    <row r="15" spans="1:8" ht="15.75" thickTop="1" x14ac:dyDescent="0.25">
      <c r="A15" t="str">
        <f t="shared" si="0"/>
        <v>Agressivo-Papel</v>
      </c>
      <c r="B15" t="s">
        <v>18</v>
      </c>
      <c r="C15" t="s">
        <v>25</v>
      </c>
      <c r="D15" s="23">
        <v>0.5</v>
      </c>
    </row>
    <row r="16" spans="1:8" x14ac:dyDescent="0.25">
      <c r="A16" t="str">
        <f t="shared" si="0"/>
        <v>Agressivo-Tijolo</v>
      </c>
      <c r="B16" t="s">
        <v>18</v>
      </c>
      <c r="C16" t="s">
        <v>26</v>
      </c>
      <c r="D16" s="23">
        <v>0.1</v>
      </c>
    </row>
    <row r="17" spans="1:4" x14ac:dyDescent="0.25">
      <c r="A17" t="str">
        <f t="shared" si="0"/>
        <v>Agressivo-Híbridos</v>
      </c>
      <c r="B17" t="s">
        <v>18</v>
      </c>
      <c r="C17" t="s">
        <v>27</v>
      </c>
      <c r="D17" s="23">
        <v>0.05</v>
      </c>
    </row>
    <row r="18" spans="1:4" x14ac:dyDescent="0.25">
      <c r="A18" t="str">
        <f t="shared" si="0"/>
        <v>Agressivo-FOFs</v>
      </c>
      <c r="B18" t="s">
        <v>18</v>
      </c>
      <c r="C18" t="s">
        <v>28</v>
      </c>
      <c r="D18" s="23">
        <v>0.05</v>
      </c>
    </row>
    <row r="19" spans="1:4" x14ac:dyDescent="0.25">
      <c r="A19" t="str">
        <f t="shared" si="0"/>
        <v>Agressivo-Desenvolvimento</v>
      </c>
      <c r="B19" t="s">
        <v>18</v>
      </c>
      <c r="C19" t="s">
        <v>29</v>
      </c>
      <c r="D19" s="23">
        <v>0.2</v>
      </c>
    </row>
    <row r="20" spans="1:4" x14ac:dyDescent="0.25">
      <c r="A20" t="str">
        <f t="shared" si="0"/>
        <v>Agressivo-Hotelarias</v>
      </c>
      <c r="B20" t="s">
        <v>18</v>
      </c>
      <c r="C20" t="s">
        <v>30</v>
      </c>
      <c r="D20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Simulador de Investimento</vt:lpstr>
      <vt:lpstr>Tabela de Apoio</vt:lpstr>
      <vt:lpstr>Aporte</vt:lpstr>
      <vt:lpstr>'Simulador de Investimento'!Area_de_impressao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Armond Bravo Ananias</dc:creator>
  <cp:lastModifiedBy>Rodrigo Armond Bravo Ananias</cp:lastModifiedBy>
  <dcterms:created xsi:type="dcterms:W3CDTF">2015-06-05T18:19:34Z</dcterms:created>
  <dcterms:modified xsi:type="dcterms:W3CDTF">2026-10-12T02:14:52Z</dcterms:modified>
</cp:coreProperties>
</file>