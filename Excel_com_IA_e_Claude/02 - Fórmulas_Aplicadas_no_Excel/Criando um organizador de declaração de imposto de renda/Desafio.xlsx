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odri\Downloads\Santander Open Academy\Excel com IA e Claude\02 - Fórmulas Aplicadas no Excel\04 - Criando um organizador de declaração de imposto de renda\"/>
    </mc:Choice>
  </mc:AlternateContent>
  <xr:revisionPtr revIDLastSave="0" documentId="13_ncr:1_{00512AAE-CDB8-4E7B-8D54-434E5B5031B8}" xr6:coauthVersionLast="47" xr6:coauthVersionMax="47" xr10:uidLastSave="{00000000-0000-0000-0000-000000000000}"/>
  <bookViews>
    <workbookView xWindow="-105" yWindow="0" windowWidth="25815" windowHeight="20985" tabRatio="0" xr2:uid="{00000000-000D-0000-FFFF-FFFF00000000}"/>
  </bookViews>
  <sheets>
    <sheet name="Titular" sheetId="1" r:id="rId1"/>
    <sheet name="Informes" sheetId="4" r:id="rId2"/>
    <sheet name="Notas" sheetId="5" r:id="rId3"/>
    <sheet name="Tabela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<sst xmlns="http://schemas.openxmlformats.org/spreadsheetml/2006/main" count="121" uniqueCount="93">
  <si>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</si>
  <si>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</si>
  <si>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</si>
  <si>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</si>
  <si>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</si>
  <si>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</si>
  <si>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</si>
  <si>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</si>
  <si>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</si>
  <si>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</si>
  <si>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</si>
  <si>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ANTERIOR?</t>
  </si>
  <si>
    <t>DEPENDENTE CÔNJUGE</t>
  </si>
  <si>
    <t>RESIDENTE NO EXTERIOR</t>
  </si>
  <si>
    <t>SIM</t>
  </si>
  <si>
    <t>NÃO</t>
  </si>
  <si>
    <t>Rua dos indecisos, R, - N° 180</t>
  </si>
  <si>
    <t>Rua dos indecisos, Ronald, - N° 180</t>
  </si>
  <si>
    <t>Maria do Socorro</t>
  </si>
  <si>
    <t>João da Silva</t>
  </si>
  <si>
    <t>exemplo@gmail.com</t>
  </si>
  <si>
    <t>AVANÇAR</t>
  </si>
  <si>
    <t>1. DADOS DO TITULAR</t>
  </si>
  <si>
    <t>2. INFORMES DE RENDIMENTOS BANCÁRIOS</t>
  </si>
  <si>
    <t>Preencha com seus dados atuais de cada banco</t>
  </si>
  <si>
    <t>Preencha os dados da sua pessoa física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</si>
  <si>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</si>
  <si>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</si>
  <si>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</si>
  <si>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</si>
  <si>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</si>
  <si>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</si>
  <si>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</si>
  <si>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</si>
  <si>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</si>
  <si>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</si>
  <si>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</si>
  <si>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</si>
  <si>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</si>
  <si>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</si>
  <si>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</si>
  <si>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</si>
  <si>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</si>
  <si>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</si>
  <si>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</si>
  <si>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</si>
  <si>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</si>
  <si>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</si>
  <si>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</si>
  <si>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</si>
  <si>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</si>
  <si>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</si>
  <si>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</si>
  <si>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</si>
  <si>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</si>
  <si>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</si>
  <si>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</si>
  <si>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</si>
  <si>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</si>
  <si>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</si>
  <si>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</si>
  <si>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</si>
  <si>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</si>
  <si>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</si>
  <si>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</si>
  <si>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</si>
  <si>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</si>
  <si>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</si>
  <si>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</si>
  <si>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</si>
  <si>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</si>
  <si>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</si>
  <si>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</si>
  <si>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</si>
  <si>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</si>
  <si>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</si>
  <si>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</si>
  <si>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</si>
  <si>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</si>
  <si>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</si>
  <si>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DIRF_2025.pdf</t>
  </si>
  <si>
    <t>1° Banco</t>
  </si>
  <si>
    <t>2° Banco</t>
  </si>
  <si>
    <t>3° Banco</t>
  </si>
  <si>
    <t>TOTAL</t>
  </si>
  <si>
    <t>RECUAR</t>
  </si>
  <si>
    <t>São todos os valores de entrada mês a mês de receita</t>
  </si>
  <si>
    <t>DATA</t>
  </si>
  <si>
    <t>CATEGORIA</t>
  </si>
  <si>
    <t>VALOR</t>
  </si>
  <si>
    <t>ENTRADAS</t>
  </si>
  <si>
    <t>3. NOTAS BANCÁRIAS OU EXTRATO DE HOLERITE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</si>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</sst>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5" formatCode="000&quot;.&quot;000&quot;.&quot;000&quot;-&quot;00"/>
    <numFmt numFmtId="166" formatCode="00000\-000"/>
    <numFmt numFmtId="167" formatCode="&quot;(&quot;00&quot;)&quot;0000&quot;-&quot;0000"/>
    <numFmt numFmtId="168" formatCode="&quot;(&quot;00&quot;)&quot;00000&quot;-&quot;0000"/>
    <numFmt numFmtId="169" formatCode="&quot;R$&quot;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b/>
      <sz val="15"/>
      <color theme="3"/>
      <name val="Times New Roman"/>
      <family val="1"/>
    </font>
    <font>
      <b/>
      <sz val="15"/>
      <color rgb="FF0E1316"/>
      <name val="Times New Roman"/>
      <family val="1"/>
    </font>
    <font>
      <sz val="10"/>
      <color theme="0"/>
      <name val="Times New Roman"/>
      <family val="1"/>
    </font>
    <font>
      <b/>
      <sz val="10"/>
      <color theme="3"/>
      <name val="Times New Roman"/>
      <family val="1"/>
    </font>
    <font>
      <b/>
      <sz val="10"/>
      <color theme="0"/>
      <name val="Times New Roman"/>
      <family val="1"/>
    </font>
    <font>
      <sz val="11"/>
      <color rgb="FF000000"/>
      <name val="Aptos Narrow"/>
      <family val="2"/>
    </font>
    <font>
      <b/>
      <sz val="11"/>
      <color theme="0"/>
      <name val="Aptos Narrow"/>
      <family val="2"/>
    </font>
    <font>
      <sz val="8"/>
      <color theme="6" tint="-0.249977111117893"/>
      <name val="Times New Roman"/>
      <family val="1"/>
    </font>
    <font>
      <sz val="11"/>
      <color theme="6" tint="-0.249977111117893"/>
      <name val="Times New Roman"/>
      <family val="1"/>
    </font>
    <font>
      <sz val="10"/>
      <color theme="6" tint="-0.249977111117893"/>
      <name val="Times New Roman"/>
      <family val="1"/>
    </font>
    <font>
      <b/>
      <sz val="10"/>
      <color theme="6" tint="-0.249977111117893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theme="6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0" fillId="3" borderId="0" xfId="0" applyFill="1"/>
    <xf numFmtId="0" fontId="5" fillId="0" borderId="0" xfId="0" applyFont="1"/>
    <xf numFmtId="0" fontId="5" fillId="0" borderId="2" xfId="0" applyFont="1" applyBorder="1" applyAlignment="1">
      <alignment horizontal="right"/>
    </xf>
    <xf numFmtId="0" fontId="6" fillId="0" borderId="3" xfId="2" applyFont="1" applyBorder="1"/>
    <xf numFmtId="0" fontId="7" fillId="0" borderId="3" xfId="2" applyFont="1" applyBorder="1"/>
    <xf numFmtId="0" fontId="5" fillId="4" borderId="0" xfId="0" applyFont="1" applyFill="1"/>
    <xf numFmtId="0" fontId="0" fillId="4" borderId="0" xfId="0" applyFill="1"/>
    <xf numFmtId="0" fontId="9" fillId="0" borderId="3" xfId="2" applyFont="1" applyBorder="1"/>
    <xf numFmtId="0" fontId="10" fillId="4" borderId="0" xfId="0" applyFont="1" applyFill="1" applyAlignment="1">
      <alignment horizontal="center"/>
    </xf>
    <xf numFmtId="0" fontId="10" fillId="4" borderId="0" xfId="4" applyFont="1" applyFill="1" applyAlignment="1">
      <alignment horizontal="center"/>
    </xf>
    <xf numFmtId="0" fontId="8" fillId="4" borderId="0" xfId="0" applyFont="1" applyFill="1" applyAlignment="1">
      <alignment horizontal="left" indent="2"/>
    </xf>
    <xf numFmtId="0" fontId="11" fillId="0" borderId="0" xfId="0" applyFont="1"/>
    <xf numFmtId="0" fontId="12" fillId="5" borderId="0" xfId="0" applyFont="1" applyFill="1"/>
    <xf numFmtId="0" fontId="13" fillId="0" borderId="0" xfId="0" applyFont="1"/>
    <xf numFmtId="169" fontId="10" fillId="4" borderId="2" xfId="1" applyNumberFormat="1" applyFont="1" applyFill="1" applyBorder="1" applyAlignment="1">
      <alignment horizontal="center"/>
    </xf>
    <xf numFmtId="0" fontId="14" fillId="0" borderId="0" xfId="0" applyFont="1"/>
    <xf numFmtId="0" fontId="10" fillId="4" borderId="4" xfId="4" applyFont="1" applyFill="1" applyBorder="1" applyAlignment="1">
      <alignment horizontal="center"/>
    </xf>
    <xf numFmtId="0" fontId="10" fillId="4" borderId="5" xfId="4" applyFont="1" applyFill="1" applyBorder="1" applyAlignment="1">
      <alignment horizontal="center"/>
    </xf>
    <xf numFmtId="0" fontId="0" fillId="0" borderId="0" xfId="0" applyBorder="1"/>
    <xf numFmtId="0" fontId="6" fillId="0" borderId="0" xfId="2" applyFont="1" applyBorder="1"/>
    <xf numFmtId="0" fontId="0" fillId="7" borderId="0" xfId="0" applyFill="1" applyBorder="1"/>
    <xf numFmtId="0" fontId="16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169" fontId="15" fillId="0" borderId="4" xfId="0" applyNumberFormat="1" applyFont="1" applyBorder="1" applyAlignment="1">
      <alignment horizontal="center"/>
    </xf>
    <xf numFmtId="0" fontId="10" fillId="4" borderId="2" xfId="3" applyFont="1" applyFill="1" applyBorder="1" applyAlignment="1" applyProtection="1">
      <alignment horizontal="left"/>
      <protection locked="0"/>
    </xf>
    <xf numFmtId="165" fontId="10" fillId="4" borderId="2" xfId="3" applyNumberFormat="1" applyFont="1" applyFill="1" applyBorder="1" applyAlignment="1" applyProtection="1">
      <alignment horizontal="left"/>
      <protection locked="0"/>
    </xf>
    <xf numFmtId="14" fontId="10" fillId="4" borderId="2" xfId="3" applyNumberFormat="1" applyFont="1" applyFill="1" applyBorder="1" applyAlignment="1" applyProtection="1">
      <alignment horizontal="left"/>
      <protection locked="0"/>
    </xf>
    <xf numFmtId="166" fontId="10" fillId="4" borderId="2" xfId="3" applyNumberFormat="1" applyFont="1" applyFill="1" applyBorder="1" applyAlignment="1" applyProtection="1">
      <alignment horizontal="left"/>
      <protection locked="0"/>
    </xf>
    <xf numFmtId="167" fontId="10" fillId="4" borderId="2" xfId="3" applyNumberFormat="1" applyFont="1" applyFill="1" applyBorder="1" applyAlignment="1" applyProtection="1">
      <alignment horizontal="left"/>
      <protection locked="0"/>
    </xf>
    <xf numFmtId="168" fontId="10" fillId="4" borderId="2" xfId="3" applyNumberFormat="1" applyFont="1" applyFill="1" applyBorder="1" applyAlignment="1" applyProtection="1">
      <alignment horizontal="left"/>
      <protection locked="0"/>
    </xf>
    <xf numFmtId="0" fontId="10" fillId="4" borderId="2" xfId="4" applyFont="1" applyFill="1" applyBorder="1" applyAlignment="1" applyProtection="1">
      <alignment horizontal="left"/>
      <protection locked="0"/>
    </xf>
    <xf numFmtId="169" fontId="10" fillId="4" borderId="2" xfId="1" applyNumberFormat="1" applyFont="1" applyFill="1" applyBorder="1" applyAlignment="1" applyProtection="1">
      <alignment horizontal="left"/>
      <protection locked="0"/>
    </xf>
    <xf numFmtId="14" fontId="15" fillId="6" borderId="8" xfId="0" applyNumberFormat="1" applyFont="1" applyFill="1" applyBorder="1" applyAlignment="1" applyProtection="1">
      <alignment horizontal="center"/>
      <protection locked="0"/>
    </xf>
    <xf numFmtId="0" fontId="15" fillId="6" borderId="8" xfId="0" applyFont="1" applyFill="1" applyBorder="1" applyAlignment="1" applyProtection="1">
      <alignment horizontal="center"/>
      <protection locked="0"/>
    </xf>
    <xf numFmtId="169" fontId="15" fillId="6" borderId="7" xfId="0" applyNumberFormat="1" applyFont="1" applyFill="1" applyBorder="1" applyAlignment="1" applyProtection="1">
      <alignment horizontal="center"/>
      <protection locked="0"/>
    </xf>
    <xf numFmtId="14" fontId="15" fillId="0" borderId="8" xfId="0" applyNumberFormat="1" applyFont="1" applyBorder="1" applyAlignment="1" applyProtection="1">
      <alignment horizontal="center"/>
      <protection locked="0"/>
    </xf>
    <xf numFmtId="0" fontId="15" fillId="0" borderId="8" xfId="0" applyFont="1" applyBorder="1" applyAlignment="1" applyProtection="1">
      <alignment horizontal="center"/>
      <protection locked="0"/>
    </xf>
    <xf numFmtId="169" fontId="15" fillId="0" borderId="7" xfId="0" applyNumberFormat="1" applyFont="1" applyBorder="1" applyAlignment="1" applyProtection="1">
      <alignment horizont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0"/>
  <tableStyles count="0" defaultTableStyle="TableStyleMedium2" defaultPivotStyle="PivotStyleLight16"/>
  <colors>
    <mruColors>
      <color rgb="FF0E13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http://www.linkedin.com/in/rodrigo-armond-bravo-ananias-5876b0197" TargetMode="External"/><Relationship Id="rId6" Type="http://schemas.openxmlformats.org/officeDocument/2006/relationships/hyperlink" Target="#Notas!C1"/><Relationship Id="rId5" Type="http://schemas.openxmlformats.org/officeDocument/2006/relationships/hyperlink" Target="#Informes!C1"/><Relationship Id="rId4" Type="http://schemas.openxmlformats.org/officeDocument/2006/relationships/hyperlink" Target="#Titular!C1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http://www.linkedin.com/in/rodrigo-armond-bravo-ananias-5876b0197" TargetMode="External"/><Relationship Id="rId6" Type="http://schemas.openxmlformats.org/officeDocument/2006/relationships/hyperlink" Target="#Notas!C1"/><Relationship Id="rId5" Type="http://schemas.openxmlformats.org/officeDocument/2006/relationships/hyperlink" Target="#Informes!C1"/><Relationship Id="rId4" Type="http://schemas.openxmlformats.org/officeDocument/2006/relationships/hyperlink" Target="#Titular!C1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http://www.linkedin.com/in/rodrigo-armond-bravo-ananias-5876b0197" TargetMode="External"/><Relationship Id="rId6" Type="http://schemas.openxmlformats.org/officeDocument/2006/relationships/hyperlink" Target="#Notas!C1"/><Relationship Id="rId5" Type="http://schemas.openxmlformats.org/officeDocument/2006/relationships/hyperlink" Target="#Informes!C1"/><Relationship Id="rId4" Type="http://schemas.openxmlformats.org/officeDocument/2006/relationships/hyperlink" Target="#Titular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91134</xdr:colOff>
      <xdr:row>28</xdr:row>
      <xdr:rowOff>1</xdr:rowOff>
    </xdr:from>
    <xdr:to>
      <xdr:col>0</xdr:col>
      <xdr:colOff>2530246</xdr:colOff>
      <xdr:row>30</xdr:row>
      <xdr:rowOff>25515</xdr:rowOff>
    </xdr:to>
    <xdr:sp macro="" textlink="">
      <xdr:nvSpPr>
        <xdr:cNvPr id="10" name="Retângulo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E525A7-1E80-43AF-932F-9BE408A4C17C}"/>
            </a:ext>
          </a:extLst>
        </xdr:cNvPr>
        <xdr:cNvSpPr/>
      </xdr:nvSpPr>
      <xdr:spPr>
        <a:xfrm>
          <a:off x="91134" y="5349507"/>
          <a:ext cx="2439112" cy="40208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SYSTEM BY ANANIAS</a:t>
          </a:r>
          <a:r>
            <a:rPr lang="pt-BR" sz="10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pt-BR" sz="10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72231</xdr:colOff>
      <xdr:row>2</xdr:row>
      <xdr:rowOff>195583</xdr:rowOff>
    </xdr:from>
    <xdr:to>
      <xdr:col>0</xdr:col>
      <xdr:colOff>2536548</xdr:colOff>
      <xdr:row>15</xdr:row>
      <xdr:rowOff>112798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2A5017F-CBDB-F703-B493-200106AF1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duotone>
            <a:prstClr val="black"/>
            <a:schemeClr val="bg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31" y="572153"/>
          <a:ext cx="2464317" cy="2442447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absolute">
    <xdr:from>
      <xdr:col>0</xdr:col>
      <xdr:colOff>91134</xdr:colOff>
      <xdr:row>0</xdr:row>
      <xdr:rowOff>49841</xdr:rowOff>
    </xdr:from>
    <xdr:to>
      <xdr:col>0</xdr:col>
      <xdr:colOff>2530246</xdr:colOff>
      <xdr:row>2</xdr:row>
      <xdr:rowOff>75355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D4AAFB0B-B774-54FA-2A3B-3A042B896AB0}"/>
            </a:ext>
          </a:extLst>
        </xdr:cNvPr>
        <xdr:cNvSpPr/>
      </xdr:nvSpPr>
      <xdr:spPr>
        <a:xfrm>
          <a:off x="91134" y="49841"/>
          <a:ext cx="2439112" cy="40208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Andromedu's</a:t>
          </a:r>
          <a:r>
            <a:rPr lang="pt-BR" sz="20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pt-BR" sz="20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78532</xdr:colOff>
      <xdr:row>16</xdr:row>
      <xdr:rowOff>44741</xdr:rowOff>
    </xdr:from>
    <xdr:to>
      <xdr:col>0</xdr:col>
      <xdr:colOff>2517644</xdr:colOff>
      <xdr:row>18</xdr:row>
      <xdr:rowOff>70255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1F5BCEE-07AE-4B98-8045-E13C23EC0C34}"/>
            </a:ext>
          </a:extLst>
        </xdr:cNvPr>
        <xdr:cNvSpPr/>
      </xdr:nvSpPr>
      <xdr:spPr>
        <a:xfrm>
          <a:off x="78532" y="3134828"/>
          <a:ext cx="2439112" cy="402084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Titular</a:t>
          </a:r>
          <a:r>
            <a:rPr lang="pt-BR" sz="20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pt-BR" sz="20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84833</xdr:colOff>
      <xdr:row>19</xdr:row>
      <xdr:rowOff>2198</xdr:rowOff>
    </xdr:from>
    <xdr:to>
      <xdr:col>0</xdr:col>
      <xdr:colOff>2523945</xdr:colOff>
      <xdr:row>21</xdr:row>
      <xdr:rowOff>27712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F440659-FB69-4D65-88C2-D8B833E86699}"/>
            </a:ext>
          </a:extLst>
        </xdr:cNvPr>
        <xdr:cNvSpPr/>
      </xdr:nvSpPr>
      <xdr:spPr>
        <a:xfrm>
          <a:off x="84833" y="3657140"/>
          <a:ext cx="2439112" cy="40208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Informes </a:t>
          </a:r>
          <a:endParaRPr lang="pt-BR" sz="20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91134</xdr:colOff>
      <xdr:row>21</xdr:row>
      <xdr:rowOff>147938</xdr:rowOff>
    </xdr:from>
    <xdr:to>
      <xdr:col>0</xdr:col>
      <xdr:colOff>2530246</xdr:colOff>
      <xdr:row>23</xdr:row>
      <xdr:rowOff>173453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57DDC12-473D-4F79-BB2A-C252F2CB27B5}"/>
            </a:ext>
          </a:extLst>
        </xdr:cNvPr>
        <xdr:cNvSpPr/>
      </xdr:nvSpPr>
      <xdr:spPr>
        <a:xfrm>
          <a:off x="91134" y="4179450"/>
          <a:ext cx="2439112" cy="40208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Notas</a:t>
          </a:r>
          <a:endParaRPr lang="pt-BR" sz="20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91134</xdr:colOff>
      <xdr:row>28</xdr:row>
      <xdr:rowOff>1</xdr:rowOff>
    </xdr:from>
    <xdr:to>
      <xdr:col>0</xdr:col>
      <xdr:colOff>2530246</xdr:colOff>
      <xdr:row>30</xdr:row>
      <xdr:rowOff>25515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F03A6D-2F9E-4290-BD52-6E424407FB0E}"/>
            </a:ext>
          </a:extLst>
        </xdr:cNvPr>
        <xdr:cNvSpPr/>
      </xdr:nvSpPr>
      <xdr:spPr>
        <a:xfrm>
          <a:off x="91134" y="5411530"/>
          <a:ext cx="2439112" cy="40651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SYSTEM BY ANANIAS</a:t>
          </a:r>
          <a:r>
            <a:rPr lang="pt-BR" sz="10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pt-BR" sz="10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72231</xdr:colOff>
      <xdr:row>2</xdr:row>
      <xdr:rowOff>195583</xdr:rowOff>
    </xdr:from>
    <xdr:to>
      <xdr:col>0</xdr:col>
      <xdr:colOff>2536548</xdr:colOff>
      <xdr:row>15</xdr:row>
      <xdr:rowOff>112798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A80D2D-CFE8-4A2D-9787-EB279DD26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duotone>
            <a:prstClr val="black"/>
            <a:schemeClr val="bg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31" y="578798"/>
          <a:ext cx="2464317" cy="2471244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absolute">
    <xdr:from>
      <xdr:col>0</xdr:col>
      <xdr:colOff>91134</xdr:colOff>
      <xdr:row>0</xdr:row>
      <xdr:rowOff>49841</xdr:rowOff>
    </xdr:from>
    <xdr:to>
      <xdr:col>0</xdr:col>
      <xdr:colOff>2530246</xdr:colOff>
      <xdr:row>2</xdr:row>
      <xdr:rowOff>75355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C54585B-9BDF-4F5D-B66F-D40027AC1627}"/>
            </a:ext>
          </a:extLst>
        </xdr:cNvPr>
        <xdr:cNvSpPr/>
      </xdr:nvSpPr>
      <xdr:spPr>
        <a:xfrm>
          <a:off x="91134" y="49841"/>
          <a:ext cx="2439112" cy="40651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Andromedu's</a:t>
          </a:r>
          <a:r>
            <a:rPr lang="pt-BR" sz="20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pt-BR" sz="20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78532</xdr:colOff>
      <xdr:row>16</xdr:row>
      <xdr:rowOff>44741</xdr:rowOff>
    </xdr:from>
    <xdr:to>
      <xdr:col>0</xdr:col>
      <xdr:colOff>2517644</xdr:colOff>
      <xdr:row>18</xdr:row>
      <xdr:rowOff>70255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012AC9-D846-4ABB-99C4-291A513BE60A}"/>
            </a:ext>
          </a:extLst>
        </xdr:cNvPr>
        <xdr:cNvSpPr/>
      </xdr:nvSpPr>
      <xdr:spPr>
        <a:xfrm>
          <a:off x="78532" y="3170270"/>
          <a:ext cx="2439112" cy="40651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Titular</a:t>
          </a:r>
          <a:r>
            <a:rPr lang="pt-BR" sz="20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pt-BR" sz="20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84833</xdr:colOff>
      <xdr:row>19</xdr:row>
      <xdr:rowOff>2198</xdr:rowOff>
    </xdr:from>
    <xdr:to>
      <xdr:col>0</xdr:col>
      <xdr:colOff>2523945</xdr:colOff>
      <xdr:row>21</xdr:row>
      <xdr:rowOff>27712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55B66F-5990-445C-B45D-F5E16BB0C0EA}"/>
            </a:ext>
          </a:extLst>
        </xdr:cNvPr>
        <xdr:cNvSpPr/>
      </xdr:nvSpPr>
      <xdr:spPr>
        <a:xfrm>
          <a:off x="84833" y="3699227"/>
          <a:ext cx="2439112" cy="406514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Informes </a:t>
          </a:r>
          <a:endParaRPr lang="pt-BR" sz="20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91134</xdr:colOff>
      <xdr:row>21</xdr:row>
      <xdr:rowOff>147938</xdr:rowOff>
    </xdr:from>
    <xdr:to>
      <xdr:col>0</xdr:col>
      <xdr:colOff>2530246</xdr:colOff>
      <xdr:row>23</xdr:row>
      <xdr:rowOff>173453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E2DD9FF-900F-4DB6-82CC-36BB6B625E98}"/>
            </a:ext>
          </a:extLst>
        </xdr:cNvPr>
        <xdr:cNvSpPr/>
      </xdr:nvSpPr>
      <xdr:spPr>
        <a:xfrm>
          <a:off x="91134" y="4228183"/>
          <a:ext cx="2439112" cy="40651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Notas</a:t>
          </a:r>
          <a:endParaRPr lang="pt-BR" sz="20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91134</xdr:colOff>
      <xdr:row>28</xdr:row>
      <xdr:rowOff>1</xdr:rowOff>
    </xdr:from>
    <xdr:to>
      <xdr:col>0</xdr:col>
      <xdr:colOff>2530246</xdr:colOff>
      <xdr:row>30</xdr:row>
      <xdr:rowOff>25515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6C1B3F-C8F8-4FC1-A70C-F4851E9D01E0}"/>
            </a:ext>
          </a:extLst>
        </xdr:cNvPr>
        <xdr:cNvSpPr/>
      </xdr:nvSpPr>
      <xdr:spPr>
        <a:xfrm>
          <a:off x="91134" y="5411530"/>
          <a:ext cx="2439112" cy="40651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SYSTEM BY ANANIAS</a:t>
          </a:r>
          <a:r>
            <a:rPr lang="pt-BR" sz="10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pt-BR" sz="10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72231</xdr:colOff>
      <xdr:row>2</xdr:row>
      <xdr:rowOff>195583</xdr:rowOff>
    </xdr:from>
    <xdr:to>
      <xdr:col>0</xdr:col>
      <xdr:colOff>2536548</xdr:colOff>
      <xdr:row>15</xdr:row>
      <xdr:rowOff>112798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1C3F723-B9A5-4F1E-9F21-31D3ED2D1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duotone>
            <a:prstClr val="black"/>
            <a:schemeClr val="bg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31" y="578798"/>
          <a:ext cx="2464317" cy="2471244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absolute">
    <xdr:from>
      <xdr:col>0</xdr:col>
      <xdr:colOff>91134</xdr:colOff>
      <xdr:row>0</xdr:row>
      <xdr:rowOff>49841</xdr:rowOff>
    </xdr:from>
    <xdr:to>
      <xdr:col>0</xdr:col>
      <xdr:colOff>2530246</xdr:colOff>
      <xdr:row>2</xdr:row>
      <xdr:rowOff>75355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B7B829D-6DCA-4057-B752-FCFAA7BDF440}"/>
            </a:ext>
          </a:extLst>
        </xdr:cNvPr>
        <xdr:cNvSpPr/>
      </xdr:nvSpPr>
      <xdr:spPr>
        <a:xfrm>
          <a:off x="91134" y="49841"/>
          <a:ext cx="2439112" cy="40651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Andromedu's</a:t>
          </a:r>
          <a:r>
            <a:rPr lang="pt-BR" sz="20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pt-BR" sz="20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78532</xdr:colOff>
      <xdr:row>16</xdr:row>
      <xdr:rowOff>44741</xdr:rowOff>
    </xdr:from>
    <xdr:to>
      <xdr:col>0</xdr:col>
      <xdr:colOff>2517644</xdr:colOff>
      <xdr:row>18</xdr:row>
      <xdr:rowOff>70255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63972CD-D226-4C9D-ACA2-380B66B71202}"/>
            </a:ext>
          </a:extLst>
        </xdr:cNvPr>
        <xdr:cNvSpPr/>
      </xdr:nvSpPr>
      <xdr:spPr>
        <a:xfrm>
          <a:off x="78532" y="3170270"/>
          <a:ext cx="2439112" cy="40651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Titular</a:t>
          </a:r>
          <a:r>
            <a:rPr lang="pt-BR" sz="20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pt-BR" sz="20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84833</xdr:colOff>
      <xdr:row>19</xdr:row>
      <xdr:rowOff>2198</xdr:rowOff>
    </xdr:from>
    <xdr:to>
      <xdr:col>0</xdr:col>
      <xdr:colOff>2523945</xdr:colOff>
      <xdr:row>21</xdr:row>
      <xdr:rowOff>27712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619FC9-9380-4588-8433-1A2F0178FF5C}"/>
            </a:ext>
          </a:extLst>
        </xdr:cNvPr>
        <xdr:cNvSpPr/>
      </xdr:nvSpPr>
      <xdr:spPr>
        <a:xfrm>
          <a:off x="84833" y="3699227"/>
          <a:ext cx="2439112" cy="40651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Informes </a:t>
          </a:r>
          <a:endParaRPr lang="pt-BR" sz="20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91134</xdr:colOff>
      <xdr:row>21</xdr:row>
      <xdr:rowOff>147938</xdr:rowOff>
    </xdr:from>
    <xdr:to>
      <xdr:col>0</xdr:col>
      <xdr:colOff>2530246</xdr:colOff>
      <xdr:row>23</xdr:row>
      <xdr:rowOff>173453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2286897-C47F-4069-90A9-A14F5C0CBE74}"/>
            </a:ext>
          </a:extLst>
        </xdr:cNvPr>
        <xdr:cNvSpPr/>
      </xdr:nvSpPr>
      <xdr:spPr>
        <a:xfrm>
          <a:off x="91134" y="4228183"/>
          <a:ext cx="2439112" cy="406514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Notas</a:t>
          </a:r>
          <a:endParaRPr lang="pt-BR" sz="20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xempl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24"/>
  <sheetViews>
    <sheetView showGridLines="0" showRowColHeaders="0" tabSelected="1" zoomScale="172" zoomScaleNormal="172" workbookViewId="0">
      <selection activeCell="D7" sqref="D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9.28515625" style="1" customWidth="1"/>
    <col min="3" max="3" width="43.28515625" style="2" customWidth="1"/>
    <col min="4" max="4" width="30.5703125" style="2" customWidth="1"/>
  </cols>
  <sheetData>
    <row r="3" spans="3:5" ht="20.25" thickBot="1" x14ac:dyDescent="0.35">
      <c r="C3" s="5" t="s">
        <v>22</v>
      </c>
      <c r="D3" s="8"/>
      <c r="E3" s="20"/>
    </row>
    <row r="4" spans="3:5" ht="15.75" thickTop="1" x14ac:dyDescent="0.25">
      <c r="C4" s="11" t="s">
        <v>25</v>
      </c>
      <c r="D4" s="6"/>
      <c r="E4" s="19"/>
    </row>
    <row r="7" spans="3:5" x14ac:dyDescent="0.25">
      <c r="C7" s="3" t="s">
        <v>0</v>
      </c>
      <c r="D7" s="25" t="s">
        <v>19</v>
      </c>
    </row>
    <row r="8" spans="3:5" x14ac:dyDescent="0.25">
      <c r="C8" s="3" t="s">
        <v>1</v>
      </c>
      <c r="D8" s="26">
        <v>12312312323</v>
      </c>
    </row>
    <row r="9" spans="3:5" x14ac:dyDescent="0.25">
      <c r="C9" s="3" t="s">
        <v>2</v>
      </c>
      <c r="D9" s="27">
        <v>36526</v>
      </c>
    </row>
    <row r="10" spans="3:5" x14ac:dyDescent="0.25">
      <c r="C10" s="3" t="s">
        <v>3</v>
      </c>
      <c r="D10" s="25">
        <v>131233233</v>
      </c>
    </row>
    <row r="11" spans="3:5" x14ac:dyDescent="0.25">
      <c r="C11" s="3" t="s">
        <v>4</v>
      </c>
      <c r="D11" s="25" t="s">
        <v>18</v>
      </c>
    </row>
    <row r="12" spans="3:5" x14ac:dyDescent="0.25">
      <c r="C12" s="3" t="s">
        <v>5</v>
      </c>
      <c r="D12" s="25" t="s">
        <v>17</v>
      </c>
    </row>
    <row r="13" spans="3:5" x14ac:dyDescent="0.25">
      <c r="C13" s="3" t="s">
        <v>6</v>
      </c>
      <c r="D13" s="25" t="s">
        <v>16</v>
      </c>
    </row>
    <row r="14" spans="3:5" x14ac:dyDescent="0.25">
      <c r="C14" s="3" t="s">
        <v>7</v>
      </c>
      <c r="D14" s="28">
        <v>22113123</v>
      </c>
    </row>
    <row r="15" spans="3:5" x14ac:dyDescent="0.25">
      <c r="C15" s="3" t="s">
        <v>8</v>
      </c>
      <c r="D15" s="29">
        <v>12345678</v>
      </c>
    </row>
    <row r="16" spans="3:5" x14ac:dyDescent="0.25">
      <c r="C16" s="3" t="s">
        <v>9</v>
      </c>
      <c r="D16" s="30">
        <v>12345678</v>
      </c>
    </row>
    <row r="17" spans="3:4" x14ac:dyDescent="0.25">
      <c r="C17" s="3" t="s">
        <v>10</v>
      </c>
      <c r="D17" s="31" t="s">
        <v>20</v>
      </c>
    </row>
    <row r="18" spans="3:4" x14ac:dyDescent="0.25">
      <c r="C18" s="3" t="s">
        <v>11</v>
      </c>
      <c r="D18" s="25" t="s">
        <v>14</v>
      </c>
    </row>
    <row r="19" spans="3:4" x14ac:dyDescent="0.25">
      <c r="C19" s="3" t="s">
        <v>12</v>
      </c>
      <c r="D19" s="25" t="s">
        <v>15</v>
      </c>
    </row>
    <row r="20" spans="3:4" x14ac:dyDescent="0.25">
      <c r="C20" s="3" t="s">
        <v>13</v>
      </c>
      <c r="D20" s="25" t="s">
        <v>14</v>
      </c>
    </row>
    <row r="24" spans="3:4" x14ac:dyDescent="0.25">
      <c r="D24" s="10" t="s">
        <v>21</v>
      </c>
    </row>
  </sheetData>
  <sheetProtection sheet="1" objects="1" scenarios="1" selectLockedCells="1"/>
  <dataValidations count="1">
    <dataValidation type="list" allowBlank="1" showInputMessage="1" showErrorMessage="1" sqref="D18:D20" xr:uid="{B7C4897D-7CA1-4EE4-9969-225D6F97DB49}">
      <formula1>"SIM,NÃO"</formula1>
    </dataValidation>
  </dataValidations>
  <hyperlinks>
    <hyperlink ref="D17" r:id="rId1" xr:uid="{CE72F781-03EA-4EB7-84FF-09051FA42088}"/>
    <hyperlink ref="D24" location="Informes!A1" display="AVANÇAR" xr:uid="{40F34A28-55DD-4D8D-8CF5-6F3ED2D37B68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427D-937D-4457-AC02-AE24BD4800F3}">
  <dimension ref="A3:E24"/>
  <sheetViews>
    <sheetView showGridLines="0" showRowColHeaders="0" zoomScale="172" zoomScaleNormal="172" workbookViewId="0">
      <selection activeCell="D12" sqref="D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9.28515625" style="1" customWidth="1"/>
    <col min="3" max="3" width="43.28515625" customWidth="1"/>
    <col min="4" max="4" width="30.5703125" customWidth="1"/>
  </cols>
  <sheetData>
    <row r="3" spans="3:5" ht="20.25" thickBot="1" x14ac:dyDescent="0.35">
      <c r="C3" s="5" t="s">
        <v>23</v>
      </c>
      <c r="D3" s="8"/>
      <c r="E3" s="20"/>
    </row>
    <row r="4" spans="3:5" ht="15.75" thickTop="1" x14ac:dyDescent="0.25">
      <c r="C4" s="11" t="s">
        <v>24</v>
      </c>
      <c r="D4" s="6"/>
      <c r="E4" s="21"/>
    </row>
    <row r="6" spans="3:5" x14ac:dyDescent="0.25">
      <c r="C6" s="16" t="s">
        <v>84</v>
      </c>
    </row>
    <row r="7" spans="3:5" x14ac:dyDescent="0.25">
      <c r="C7" s="15">
        <f>SUM(D11,D16,D21)</f>
        <v>2250000</v>
      </c>
      <c r="D7" s="15"/>
    </row>
    <row r="9" spans="3:5" x14ac:dyDescent="0.25">
      <c r="C9" s="14" t="s">
        <v>81</v>
      </c>
    </row>
    <row r="10" spans="3:5" x14ac:dyDescent="0.25">
      <c r="C10" s="3" t="s">
        <v>26</v>
      </c>
      <c r="D10" s="25" t="s">
        <v>30</v>
      </c>
    </row>
    <row r="11" spans="3:5" x14ac:dyDescent="0.25">
      <c r="C11" s="3" t="s">
        <v>27</v>
      </c>
      <c r="D11" s="32">
        <v>750000</v>
      </c>
    </row>
    <row r="12" spans="3:5" x14ac:dyDescent="0.25">
      <c r="C12" s="3" t="s">
        <v>28</v>
      </c>
      <c r="D12" s="27" t="s">
        <v>80</v>
      </c>
    </row>
    <row r="14" spans="3:5" x14ac:dyDescent="0.25">
      <c r="C14" s="14" t="s">
        <v>82</v>
      </c>
    </row>
    <row r="15" spans="3:5" x14ac:dyDescent="0.25">
      <c r="C15" s="3" t="s">
        <v>26</v>
      </c>
      <c r="D15" s="25" t="s">
        <v>31</v>
      </c>
    </row>
    <row r="16" spans="3:5" x14ac:dyDescent="0.25">
      <c r="C16" s="3" t="s">
        <v>27</v>
      </c>
      <c r="D16" s="32">
        <v>750000</v>
      </c>
    </row>
    <row r="17" spans="3:4" x14ac:dyDescent="0.25">
      <c r="C17" s="3" t="s">
        <v>28</v>
      </c>
      <c r="D17" s="27" t="s">
        <v>80</v>
      </c>
    </row>
    <row r="19" spans="3:4" x14ac:dyDescent="0.25">
      <c r="C19" s="14" t="s">
        <v>83</v>
      </c>
    </row>
    <row r="20" spans="3:4" x14ac:dyDescent="0.25">
      <c r="C20" s="3" t="s">
        <v>26</v>
      </c>
      <c r="D20" s="25" t="s">
        <v>50</v>
      </c>
    </row>
    <row r="21" spans="3:4" x14ac:dyDescent="0.25">
      <c r="C21" s="3" t="s">
        <v>27</v>
      </c>
      <c r="D21" s="32">
        <v>750000</v>
      </c>
    </row>
    <row r="22" spans="3:4" x14ac:dyDescent="0.25">
      <c r="C22" s="3" t="s">
        <v>28</v>
      </c>
      <c r="D22" s="27" t="s">
        <v>80</v>
      </c>
    </row>
    <row r="24" spans="3:4" x14ac:dyDescent="0.25">
      <c r="C24" s="17" t="s">
        <v>85</v>
      </c>
      <c r="D24" s="17" t="s">
        <v>21</v>
      </c>
    </row>
  </sheetData>
  <sheetProtection sheet="1" objects="1" scenarios="1" selectLockedCells="1"/>
  <mergeCells count="1">
    <mergeCell ref="C7:D7"/>
  </mergeCells>
  <hyperlinks>
    <hyperlink ref="D24" location="Notas!C1" display="AVANÇAR" xr:uid="{1B57F153-01ED-42C1-9F94-F4D2CA191682}"/>
    <hyperlink ref="C24" location="Titular!C1" display="RECUAR" xr:uid="{E02F3F7E-2DA8-47DB-904E-3373DD808D62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." error="Informe um banco da lista." promptTitle="Informe um banco" prompt="Informe um banco vinculado ao seu CPF." xr:uid="{FA52CB19-8F67-4B59-9C54-64E1891175BE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DC9A-D5AF-431C-B261-2BCDCFF479D0}">
  <dimension ref="A3:E24"/>
  <sheetViews>
    <sheetView showGridLines="0" showRowColHeaders="0" zoomScale="172" zoomScaleNormal="172" workbookViewId="0">
      <selection activeCell="E8" sqref="E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9.28515625" style="1" customWidth="1"/>
    <col min="3" max="4" width="23.7109375" customWidth="1"/>
    <col min="5" max="5" width="27.140625" customWidth="1"/>
  </cols>
  <sheetData>
    <row r="3" spans="3:5" ht="20.25" thickBot="1" x14ac:dyDescent="0.35">
      <c r="C3" s="5" t="s">
        <v>91</v>
      </c>
      <c r="D3" s="8"/>
      <c r="E3" s="4"/>
    </row>
    <row r="4" spans="3:5" ht="15.75" thickTop="1" x14ac:dyDescent="0.25">
      <c r="C4" s="11" t="s">
        <v>86</v>
      </c>
      <c r="D4" s="6"/>
      <c r="E4" s="7"/>
    </row>
    <row r="6" spans="3:5" x14ac:dyDescent="0.25">
      <c r="C6" s="16" t="s">
        <v>90</v>
      </c>
    </row>
    <row r="7" spans="3:5" x14ac:dyDescent="0.25">
      <c r="C7" s="9" t="s">
        <v>87</v>
      </c>
      <c r="D7" s="9" t="s">
        <v>88</v>
      </c>
      <c r="E7" s="9" t="s">
        <v>89</v>
      </c>
    </row>
    <row r="8" spans="3:5" x14ac:dyDescent="0.25">
      <c r="C8" s="33">
        <v>46307</v>
      </c>
      <c r="D8" s="34" t="s">
        <v>92</v>
      </c>
      <c r="E8" s="35">
        <v>3000</v>
      </c>
    </row>
    <row r="9" spans="3:5" x14ac:dyDescent="0.25">
      <c r="C9" s="36">
        <v>46308</v>
      </c>
      <c r="D9" s="37" t="s">
        <v>92</v>
      </c>
      <c r="E9" s="38">
        <v>3000</v>
      </c>
    </row>
    <row r="10" spans="3:5" x14ac:dyDescent="0.25">
      <c r="C10" s="33">
        <v>46309</v>
      </c>
      <c r="D10" s="34" t="s">
        <v>92</v>
      </c>
      <c r="E10" s="35">
        <v>3000</v>
      </c>
    </row>
    <row r="11" spans="3:5" x14ac:dyDescent="0.25">
      <c r="C11" s="36">
        <v>46310</v>
      </c>
      <c r="D11" s="37" t="s">
        <v>92</v>
      </c>
      <c r="E11" s="38">
        <v>3000</v>
      </c>
    </row>
    <row r="12" spans="3:5" x14ac:dyDescent="0.25">
      <c r="C12" s="33">
        <v>46311</v>
      </c>
      <c r="D12" s="34" t="s">
        <v>92</v>
      </c>
      <c r="E12" s="35">
        <v>3000</v>
      </c>
    </row>
    <row r="13" spans="3:5" x14ac:dyDescent="0.25">
      <c r="C13" s="36">
        <v>46312</v>
      </c>
      <c r="D13" s="37" t="s">
        <v>92</v>
      </c>
      <c r="E13" s="38">
        <v>3000</v>
      </c>
    </row>
    <row r="14" spans="3:5" x14ac:dyDescent="0.25">
      <c r="C14" s="33">
        <v>46313</v>
      </c>
      <c r="D14" s="34" t="s">
        <v>92</v>
      </c>
      <c r="E14" s="35">
        <v>3000</v>
      </c>
    </row>
    <row r="15" spans="3:5" x14ac:dyDescent="0.25">
      <c r="C15" s="36">
        <v>46314</v>
      </c>
      <c r="D15" s="37" t="s">
        <v>92</v>
      </c>
      <c r="E15" s="38">
        <v>3000</v>
      </c>
    </row>
    <row r="16" spans="3:5" x14ac:dyDescent="0.25">
      <c r="C16" s="33">
        <v>46315</v>
      </c>
      <c r="D16" s="34" t="s">
        <v>92</v>
      </c>
      <c r="E16" s="35">
        <v>3000</v>
      </c>
    </row>
    <row r="17" spans="3:5" x14ac:dyDescent="0.25">
      <c r="C17" s="36">
        <v>46316</v>
      </c>
      <c r="D17" s="37" t="s">
        <v>92</v>
      </c>
      <c r="E17" s="38">
        <v>3000</v>
      </c>
    </row>
    <row r="18" spans="3:5" x14ac:dyDescent="0.25">
      <c r="C18" s="33">
        <v>46317</v>
      </c>
      <c r="D18" s="34" t="s">
        <v>92</v>
      </c>
      <c r="E18" s="35">
        <v>3000</v>
      </c>
    </row>
    <row r="19" spans="3:5" x14ac:dyDescent="0.25">
      <c r="C19" s="36">
        <v>46318</v>
      </c>
      <c r="D19" s="37" t="s">
        <v>92</v>
      </c>
      <c r="E19" s="38">
        <v>3000</v>
      </c>
    </row>
    <row r="20" spans="3:5" x14ac:dyDescent="0.25">
      <c r="C20" s="33">
        <v>46319</v>
      </c>
      <c r="D20" s="34" t="s">
        <v>92</v>
      </c>
      <c r="E20" s="35">
        <v>3000</v>
      </c>
    </row>
    <row r="21" spans="3:5" x14ac:dyDescent="0.25">
      <c r="C21" s="36">
        <v>46320</v>
      </c>
      <c r="D21" s="37" t="s">
        <v>92</v>
      </c>
      <c r="E21" s="38">
        <v>3000</v>
      </c>
    </row>
    <row r="22" spans="3:5" x14ac:dyDescent="0.25">
      <c r="C22" s="33">
        <v>46321</v>
      </c>
      <c r="D22" s="34" t="s">
        <v>92</v>
      </c>
      <c r="E22" s="35">
        <v>3000</v>
      </c>
    </row>
    <row r="23" spans="3:5" x14ac:dyDescent="0.25">
      <c r="C23" s="22"/>
      <c r="D23" s="23"/>
      <c r="E23" s="24"/>
    </row>
    <row r="24" spans="3:5" x14ac:dyDescent="0.25">
      <c r="C24" s="18" t="s">
        <v>85</v>
      </c>
    </row>
  </sheetData>
  <sheetProtection sheet="1" objects="1" scenarios="1" selectLockedCells="1"/>
  <dataValidations count="1">
    <dataValidation type="list" allowBlank="1" showInputMessage="1" showErrorMessage="1" sqref="D8:D23" xr:uid="{796147C0-63DD-49D2-9CB9-CE6C39CC1BD2}">
      <formula1>"HOLERITE,CNPJ,FREELANCE"</formula1>
    </dataValidation>
  </dataValidations>
  <hyperlinks>
    <hyperlink ref="C24" location="Titular!C1" display="RECUAR" xr:uid="{A710AFD0-A478-484C-943F-757EDB95F10F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A0FF-62B4-42ED-9FA6-06F3F5DD88A4}">
  <dimension ref="A1:A51"/>
  <sheetViews>
    <sheetView workbookViewId="0">
      <selection activeCell="E53" sqref="E53"/>
    </sheetView>
  </sheetViews>
  <sheetFormatPr defaultRowHeight="15" x14ac:dyDescent="0.25"/>
  <sheetData>
    <row r="1" spans="1:1" x14ac:dyDescent="0.25">
      <c r="A1" s="13" t="s">
        <v>29</v>
      </c>
    </row>
    <row r="2" spans="1:1" x14ac:dyDescent="0.25">
      <c r="A2" s="12" t="s">
        <v>30</v>
      </c>
    </row>
    <row r="3" spans="1:1" x14ac:dyDescent="0.25">
      <c r="A3" s="12" t="s">
        <v>31</v>
      </c>
    </row>
    <row r="4" spans="1:1" x14ac:dyDescent="0.25">
      <c r="A4" s="12" t="s">
        <v>32</v>
      </c>
    </row>
    <row r="5" spans="1:1" x14ac:dyDescent="0.25">
      <c r="A5" s="12" t="s">
        <v>33</v>
      </c>
    </row>
    <row r="6" spans="1:1" x14ac:dyDescent="0.25">
      <c r="A6" s="12" t="s">
        <v>34</v>
      </c>
    </row>
    <row r="7" spans="1:1" x14ac:dyDescent="0.25">
      <c r="A7" s="12" t="s">
        <v>35</v>
      </c>
    </row>
    <row r="8" spans="1:1" x14ac:dyDescent="0.25">
      <c r="A8" s="12" t="s">
        <v>36</v>
      </c>
    </row>
    <row r="9" spans="1:1" x14ac:dyDescent="0.25">
      <c r="A9" s="12" t="s">
        <v>37</v>
      </c>
    </row>
    <row r="10" spans="1:1" x14ac:dyDescent="0.25">
      <c r="A10" s="12" t="s">
        <v>38</v>
      </c>
    </row>
    <row r="11" spans="1:1" x14ac:dyDescent="0.25">
      <c r="A11" s="12" t="s">
        <v>39</v>
      </c>
    </row>
    <row r="12" spans="1:1" x14ac:dyDescent="0.25">
      <c r="A12" s="12" t="s">
        <v>40</v>
      </c>
    </row>
    <row r="13" spans="1:1" x14ac:dyDescent="0.25">
      <c r="A13" s="12" t="s">
        <v>41</v>
      </c>
    </row>
    <row r="14" spans="1:1" x14ac:dyDescent="0.25">
      <c r="A14" s="12" t="s">
        <v>42</v>
      </c>
    </row>
    <row r="15" spans="1:1" x14ac:dyDescent="0.25">
      <c r="A15" s="12" t="s">
        <v>43</v>
      </c>
    </row>
    <row r="16" spans="1:1" x14ac:dyDescent="0.25">
      <c r="A16" s="12" t="s">
        <v>44</v>
      </c>
    </row>
    <row r="17" spans="1:1" x14ac:dyDescent="0.25">
      <c r="A17" s="12" t="s">
        <v>45</v>
      </c>
    </row>
    <row r="18" spans="1:1" x14ac:dyDescent="0.25">
      <c r="A18" s="12" t="s">
        <v>46</v>
      </c>
    </row>
    <row r="19" spans="1:1" x14ac:dyDescent="0.25">
      <c r="A19" s="12" t="s">
        <v>47</v>
      </c>
    </row>
    <row r="20" spans="1:1" x14ac:dyDescent="0.25">
      <c r="A20" s="12" t="s">
        <v>48</v>
      </c>
    </row>
    <row r="21" spans="1:1" x14ac:dyDescent="0.25">
      <c r="A21" s="12" t="s">
        <v>49</v>
      </c>
    </row>
    <row r="22" spans="1:1" x14ac:dyDescent="0.25">
      <c r="A22" s="12" t="s">
        <v>50</v>
      </c>
    </row>
    <row r="23" spans="1:1" x14ac:dyDescent="0.25">
      <c r="A23" s="12" t="s">
        <v>51</v>
      </c>
    </row>
    <row r="24" spans="1:1" x14ac:dyDescent="0.25">
      <c r="A24" s="12" t="s">
        <v>52</v>
      </c>
    </row>
    <row r="25" spans="1:1" x14ac:dyDescent="0.25">
      <c r="A25" s="12" t="s">
        <v>53</v>
      </c>
    </row>
    <row r="26" spans="1:1" x14ac:dyDescent="0.25">
      <c r="A26" s="12" t="s">
        <v>54</v>
      </c>
    </row>
    <row r="27" spans="1:1" x14ac:dyDescent="0.25">
      <c r="A27" s="12" t="s">
        <v>55</v>
      </c>
    </row>
    <row r="28" spans="1:1" x14ac:dyDescent="0.25">
      <c r="A28" s="12" t="s">
        <v>56</v>
      </c>
    </row>
    <row r="29" spans="1:1" x14ac:dyDescent="0.25">
      <c r="A29" s="12" t="s">
        <v>57</v>
      </c>
    </row>
    <row r="30" spans="1:1" x14ac:dyDescent="0.25">
      <c r="A30" s="12" t="s">
        <v>58</v>
      </c>
    </row>
    <row r="31" spans="1:1" x14ac:dyDescent="0.25">
      <c r="A31" s="12" t="s">
        <v>59</v>
      </c>
    </row>
    <row r="32" spans="1:1" x14ac:dyDescent="0.25">
      <c r="A32" s="12" t="s">
        <v>60</v>
      </c>
    </row>
    <row r="33" spans="1:1" x14ac:dyDescent="0.25">
      <c r="A33" s="12" t="s">
        <v>61</v>
      </c>
    </row>
    <row r="34" spans="1:1" x14ac:dyDescent="0.25">
      <c r="A34" s="12" t="s">
        <v>62</v>
      </c>
    </row>
    <row r="35" spans="1:1" x14ac:dyDescent="0.25">
      <c r="A35" s="12" t="s">
        <v>63</v>
      </c>
    </row>
    <row r="36" spans="1:1" x14ac:dyDescent="0.25">
      <c r="A36" s="12" t="s">
        <v>64</v>
      </c>
    </row>
    <row r="37" spans="1:1" x14ac:dyDescent="0.25">
      <c r="A37" s="12" t="s">
        <v>65</v>
      </c>
    </row>
    <row r="38" spans="1:1" x14ac:dyDescent="0.25">
      <c r="A38" s="12" t="s">
        <v>66</v>
      </c>
    </row>
    <row r="39" spans="1:1" x14ac:dyDescent="0.25">
      <c r="A39" s="12" t="s">
        <v>67</v>
      </c>
    </row>
    <row r="40" spans="1:1" x14ac:dyDescent="0.25">
      <c r="A40" s="12" t="s">
        <v>68</v>
      </c>
    </row>
    <row r="41" spans="1:1" x14ac:dyDescent="0.25">
      <c r="A41" s="12" t="s">
        <v>69</v>
      </c>
    </row>
    <row r="42" spans="1:1" x14ac:dyDescent="0.25">
      <c r="A42" s="12" t="s">
        <v>70</v>
      </c>
    </row>
    <row r="43" spans="1:1" x14ac:dyDescent="0.25">
      <c r="A43" s="12" t="s">
        <v>71</v>
      </c>
    </row>
    <row r="44" spans="1:1" x14ac:dyDescent="0.25">
      <c r="A44" s="12" t="s">
        <v>72</v>
      </c>
    </row>
    <row r="45" spans="1:1" x14ac:dyDescent="0.25">
      <c r="A45" s="12" t="s">
        <v>73</v>
      </c>
    </row>
    <row r="46" spans="1:1" x14ac:dyDescent="0.25">
      <c r="A46" s="12" t="s">
        <v>74</v>
      </c>
    </row>
    <row r="47" spans="1:1" x14ac:dyDescent="0.25">
      <c r="A47" s="12" t="s">
        <v>75</v>
      </c>
    </row>
    <row r="48" spans="1:1" x14ac:dyDescent="0.25">
      <c r="A48" s="12" t="s">
        <v>76</v>
      </c>
    </row>
    <row r="49" spans="1:1" x14ac:dyDescent="0.25">
      <c r="A49" s="12" t="s">
        <v>77</v>
      </c>
    </row>
    <row r="50" spans="1:1" x14ac:dyDescent="0.25">
      <c r="A50" s="12" t="s">
        <v>78</v>
      </c>
    </row>
    <row r="51" spans="1:1" x14ac:dyDescent="0.25">
      <c r="A51" s="12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Armond Bravo Ananias</dc:creator>
  <cp:lastModifiedBy>Rodrigo Armond Bravo Ananias</cp:lastModifiedBy>
  <dcterms:created xsi:type="dcterms:W3CDTF">2015-06-05T18:19:34Z</dcterms:created>
  <dcterms:modified xsi:type="dcterms:W3CDTF">2026-10-13T02:56:17Z</dcterms:modified>
</cp:coreProperties>
</file>